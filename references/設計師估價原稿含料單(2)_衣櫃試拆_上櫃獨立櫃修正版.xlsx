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32a6fc780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9d2dfb0c3c4706"/>
    <x:sheet xmlns:r="http://schemas.openxmlformats.org/officeDocument/2006/relationships" name="Sheet2" sheetId="2" r:id="Rd3bf71b8a1b043f7"/>
    <x:sheet xmlns:r="http://schemas.openxmlformats.org/officeDocument/2006/relationships" name="Sheet3" sheetId="3" r:id="Ra08d008e89bc4e2c"/>
  </x:sheets>
  <x:definedNames>
    <x:definedName name="Excel_BuiltIn_Print_Area" localSheetId="0" hidden="0" function="0" vbProcedure="0">#REF!</x:definedName>
  </x:definedNames>
</x:workbook>
</file>

<file path=xl/sharedStrings.xml><?xml version="1.0" encoding="utf-8"?>
<x:sst xmlns:x="http://schemas.openxmlformats.org/spreadsheetml/2006/main">
  <x:si>
    <x:r>
      <x:rPr>
        <x:sz val="16"/>
        <x:rFont val="Noto Sans CJK SC"/>
        <x:family val="2"/>
      </x:rPr>
      <x:t xml:space="preserve">編號</x:t>
    </x:r>
    <x:r>
      <x:rPr>
        <x:sz val="16"/>
        <x:rFont val="標楷體"/>
        <x:family val="4"/>
      </x:rPr>
      <x:t xml:space="preserve">:</x:t>
    </x:r>
  </x:si>
  <x:si>
    <x:r>
      <x:rPr>
        <x:sz val="16"/>
        <x:rFont val="Noto Sans CJK SC"/>
        <x:family val="2"/>
      </x:rPr>
      <x:t xml:space="preserve">案件名稱</x:t>
    </x:r>
    <x:r>
      <x:rPr>
        <x:sz val="16"/>
        <x:rFont val="標楷體"/>
        <x:family val="4"/>
      </x:rPr>
      <x:t xml:space="preserve">:</x:t>
    </x:r>
  </x:si>
  <x:si>
    <x:t xml:space="preserve">單元</x:t>
  </x:si>
  <x:si>
    <x:t xml:space="preserve">項目</x:t>
  </x:si>
  <x:si>
    <x:t xml:space="preserve">規格</x:t>
  </x:si>
  <x:si>
    <x:t xml:space="preserve">厚度</x:t>
  </x:si>
  <x:si>
    <x:t xml:space="preserve">數量</x:t>
  </x:si>
  <x:si>
    <x:t xml:space="preserve">單價</x:t>
  </x:si>
  <x:si>
    <x:t xml:space="preserve">才數</x:t>
  </x:si>
  <x:si>
    <x:t xml:space="preserve">總才數</x:t>
  </x:si>
  <x:si>
    <x:t xml:space="preserve">總價</x:t>
  </x:si>
  <x:si>
    <x:t xml:space="preserve">高</x:t>
  </x:si>
  <x:si>
    <x:t xml:space="preserve">深</x:t>
  </x:si>
  <x:si>
    <x:t xml:space="preserve">紋路</x:t>
  </x:si>
  <x:si>
    <x:t xml:space="preserve">品項</x:t>
  </x:si>
  <x:si>
    <x:t xml:space="preserve">PVC</x:t>
  </x:si>
  <x:si>
    <x:t xml:space="preserve">ABS</x:t>
  </x:si>
  <x:si>
    <x:r>
      <x:rPr>
        <x:sz val="16"/>
        <x:rFont val="Noto Sans CJK SC"/>
        <x:family val="2"/>
      </x:rPr>
      <x:t xml:space="preserve">合計</x:t>
    </x:r>
    <x:r>
      <x:rPr>
        <x:sz val="16"/>
        <x:rFont val="標楷體"/>
        <x:family val="4"/>
      </x:rPr>
      <x:t xml:space="preserve">:</x:t>
    </x:r>
  </x:si>
  <x:si>
    <x:t xml:space="preserve">側板</x:t>
  </x:si>
  <x:si>
    <x:t xml:space="preserve">頂底板</x:t>
  </x:si>
  <x:si>
    <x:t xml:space="preserve">中立板</x:t>
  </x:si>
  <x:si>
    <x:t xml:space="preserve">固格板</x:t>
  </x:si>
  <x:si>
    <x:t xml:space="preserve">活格板</x:t>
  </x:si>
  <x:si>
    <x:t xml:space="preserve">抽框</x:t>
  </x:si>
  <x:si>
    <x:t xml:space="preserve">框中立</x:t>
  </x:si>
  <x:si>
    <x:t xml:space="preserve">橫木</x:t>
  </x:si>
  <x:si>
    <x:t xml:space="preserve">前抽牆</x:t>
  </x:si>
  <x:si>
    <x:t xml:space="preserve">邊抽牆</x:t>
  </x:si>
  <x:si>
    <x:t xml:space="preserve">抽底板</x:t>
  </x:si>
  <x:si>
    <x:r>
      <x:rPr>
        <x:sz val="1600"/>
        <x:color rgb="FF000000"/>
        <x:rFont val="標楷體"/>
        <x:family val="4"/>
      </x:rPr>
      <x:t xml:space="preserve">4E</x:t>
    </x:r>
    <x:r>
      <x:rPr>
        <x:sz val="1600"/>
        <x:color rgb="FF000000"/>
        <x:rFont val="Noto Sans CJK SC"/>
        <x:family val="2"/>
      </x:rPr>
      <x:t xml:space="preserve">門板</x:t>
    </x:r>
  </x:si>
  <x:si>
    <x:t xml:space="preserve">假門板</x:t>
  </x:si>
  <x:si>
    <x:t xml:space="preserve">屜頭</x:t>
  </x:si>
  <x:si>
    <x:t xml:space="preserve">推門</x:t>
  </x:si>
  <x:si>
    <x:t xml:space="preserve">側封板</x:t>
  </x:si>
  <x:si>
    <x:t xml:space="preserve">軌道板</x:t>
  </x:si>
  <x:si>
    <x:t xml:space="preserve">擋板</x:t>
  </x:si>
  <x:si>
    <x:t xml:space="preserve">襯板</x:t>
  </x:si>
  <x:si>
    <x:t xml:space="preserve">背板</x:t>
  </x:si>
  <x:si>
    <x:t xml:space="preserve">踢腳板</x:t>
  </x:si>
  <x:si>
    <x:t xml:space="preserve">檯面</x:t>
  </x:si>
  <x:si>
    <x:t xml:space="preserve">背條</x:t>
  </x:si>
  <x:si>
    <x:t xml:space="preserve">A10</x:t>
  </x:si>
  <x:si>
    <x:t xml:space="preserve">KD</x:t>
  </x:si>
  <x:si>
    <x:t xml:space="preserve">抽木榫</x:t>
  </x:si>
  <x:si>
    <x:t xml:space="preserve">固格器</x:t>
  </x:si>
  <x:si>
    <x:t xml:space="preserve">活格利</x:t>
  </x:si>
  <x:si>
    <x:r>
      <x:rPr>
        <x:sz val="1600"/>
        <x:color rgb="FF000000"/>
        <x:rFont val="標楷體"/>
        <x:family val="4"/>
      </x:rPr>
      <x:t xml:space="preserve">GS</x:t>
    </x:r>
    <x:r>
      <x:rPr>
        <x:sz val="1600"/>
        <x:color rgb="FF000000"/>
        <x:rFont val="Noto Sans CJK SC"/>
        <x:family val="2"/>
      </x:rPr>
      <x:t xml:space="preserve">鉸鍊</x:t>
    </x:r>
  </x:si>
  <x:si>
    <x:t xml:space="preserve">油壓器</x:t>
  </x:si>
  <x:si>
    <x:t xml:space="preserve">滑軌</x:t>
  </x:si>
  <x:si>
    <x:t xml:space="preserve">U90</x:t>
  </x:si>
  <x:si>
    <x:t xml:space="preserve">U</x:t>
  </x:si>
  <x:si>
    <x:t xml:space="preserve">AL027-2A</x:t>
  </x:si>
  <x:si>
    <x:t xml:space="preserve">AL027-2B</x:t>
  </x:si>
  <x:si>
    <x:r>
      <x:rPr>
        <x:sz val="16"/>
        <x:rFont val="標楷體"/>
        <x:family val="4"/>
      </x:rPr>
      <x:t xml:space="preserve">K026B</x:t>
    </x:r>
    <x:r>
      <x:rPr>
        <x:sz val="16"/>
        <x:rFont val="Noto Sans CJK SC"/>
        <x:family val="2"/>
      </x:rPr>
      <x:t xml:space="preserve">導輪</x:t>
    </x:r>
  </x:si>
  <x:si>
    <x:r>
      <x:rPr>
        <x:sz val="16"/>
        <x:rFont val="Noto Sans CJK SC"/>
        <x:family val="2"/>
      </x:rPr>
      <x:t xml:space="preserve">重型</x:t>
    </x:r>
    <x:r>
      <x:rPr>
        <x:sz val="16"/>
        <x:rFont val="標楷體"/>
        <x:family val="4"/>
      </x:rPr>
      <x:t xml:space="preserve">T</x:t>
    </x:r>
    <x:r>
      <x:rPr>
        <x:sz val="16"/>
        <x:rFont val="Noto Sans CJK SC"/>
        <x:family val="2"/>
      </x:rPr>
      <x:t xml:space="preserve">輪</x:t>
    </x:r>
  </x:si>
  <x:si>
    <x:r>
      <x:rPr>
        <x:sz val="16"/>
        <x:rFont val="標楷體"/>
        <x:family val="4"/>
      </x:rPr>
      <x:t xml:space="preserve">R</x:t>
    </x:r>
    <x:r>
      <x:rPr>
        <x:sz val="16"/>
        <x:rFont val="Noto Sans CJK SC"/>
        <x:family val="2"/>
      </x:rPr>
      <x:t xml:space="preserve">型手把</x:t>
    </x:r>
  </x:si>
  <x:si>
    <x:t xml:space="preserve">挖空內斜手把</x:t>
  </x:si>
  <x:si>
    <x:t xml:space="preserve">斜手把</x:t>
  </x:si>
  <x:si>
    <x:t xml:space="preserve">手把</x:t>
  </x:si>
  <x:si>
    <x:t xml:space="preserve">線圈孔</x:t>
  </x:si>
  <x:si>
    <x:t xml:space="preserve">釘塞</x:t>
  </x:si>
  <x:si>
    <x:t xml:space="preserve">支撐板架</x:t>
  </x:si>
  <x:si>
    <x:t xml:space="preserve">肚臍鎖</x:t>
  </x:si>
  <x:si>
    <x:t xml:space="preserve">工資</x:t>
  </x:si>
  <x:si>
    <x:r>
      <x:rPr>
        <x:sz val="16"/>
        <x:rFont val="標楷體"/>
        <x:family val="4"/>
      </x:rPr>
      <x:t xml:space="preserve">4E</x:t>
    </x:r>
    <x:r>
      <x:rPr>
        <x:sz val="16"/>
        <x:rFont val="Noto Sans CJK SC"/>
        <x:family val="2"/>
      </x:rPr>
      <x:t xml:space="preserve">門板</x:t>
    </x:r>
  </x:si>
  <x:si>
    <x:r>
      <x:rPr>
        <x:sz val="16"/>
        <x:rFont val="標楷體"/>
        <x:family val="4"/>
      </x:rPr>
      <x:t xml:space="preserve">GS</x:t>
    </x:r>
    <x:r>
      <x:rPr>
        <x:sz val="16"/>
        <x:rFont val="Noto Sans CJK SC"/>
        <x:family val="2"/>
      </x:rPr>
      <x:t xml:space="preserve">鉸鍊</x:t>
    </x:r>
  </x:si>
  <x:si>
    <x:r>
      <x:rPr>
        <x:b/>
        <x:sz val="16"/>
        <x:rFont val="Noto Sans CJK SC"/>
        <x:family val="2"/>
      </x:rPr>
      <x:t xml:space="preserve">編號</x:t>
    </x:r>
    <x:r>
      <x:rPr>
        <x:b/>
        <x:sz val="16"/>
        <x:rFont val="標楷體"/>
        <x:family val="4"/>
      </x:rPr>
      <x:t xml:space="preserve">:</x:t>
    </x:r>
  </x:si>
  <x:si>
    <x:r>
      <x:rPr>
        <x:b/>
        <x:sz val="16"/>
        <x:rFont val="Noto Sans CJK SC"/>
        <x:family val="2"/>
      </x:rPr>
      <x:t xml:space="preserve">案件名稱</x:t>
    </x:r>
    <x:r>
      <x:rPr>
        <x:b/>
        <x:sz val="16"/>
        <x:rFont val="標楷體"/>
        <x:family val="4"/>
      </x:rPr>
      <x:t xml:space="preserve">:</x:t>
    </x:r>
  </x:si>
  <x:si>
    <x:t xml:space="preserve">備註</x:t>
  </x:si>
  <x:si>
    <x:t xml:space="preserve">抽牆</x:t>
  </x:si>
  <x:si>
    <x:r>
      <x:rPr>
        <x:b/>
        <x:sz val="16"/>
        <x:rFont val="標楷體"/>
        <x:family val="4"/>
      </x:rPr>
      <x:t xml:space="preserve">4E</x:t>
    </x:r>
    <x:r>
      <x:rPr>
        <x:b/>
        <x:sz val="16"/>
        <x:rFont val="Noto Sans CJK SC"/>
        <x:family val="2"/>
      </x:rPr>
      <x:t xml:space="preserve">門板</x:t>
    </x:r>
  </x:si>
  <x:si>
    <x:r>
      <x:rPr>
        <x:b/>
        <x:sz val="16"/>
        <x:rFont val="標楷體"/>
        <x:family val="4"/>
      </x:rPr>
      <x:t xml:space="preserve">GS</x:t>
    </x:r>
    <x:r>
      <x:rPr>
        <x:b/>
        <x:sz val="16"/>
        <x:rFont val="Noto Sans CJK SC"/>
        <x:family val="2"/>
      </x:rPr>
      <x:t xml:space="preserve">鉸鍊</x:t>
    </x:r>
  </x:si>
  <x:si>
    <x:r>
      <x:rPr>
        <x:b/>
        <x:sz val="16"/>
        <x:rFont val="標楷體"/>
        <x:family val="4"/>
      </x:rPr>
      <x:t xml:space="preserve">K026</x:t>
    </x:r>
    <x:r>
      <x:rPr>
        <x:b/>
        <x:sz val="16"/>
        <x:rFont val="Noto Sans CJK SC"/>
        <x:family val="2"/>
      </x:rPr>
      <x:t xml:space="preserve">導輪</x:t>
    </x:r>
  </x:si>
  <x:si>
    <x:r>
      <x:rPr>
        <x:b/>
        <x:sz val="16"/>
        <x:rFont val="Noto Sans CJK SC"/>
        <x:family val="2"/>
      </x:rPr>
      <x:t xml:space="preserve">重型</x:t>
    </x:r>
    <x:r>
      <x:rPr>
        <x:b/>
        <x:sz val="16"/>
        <x:rFont val="標楷體"/>
        <x:family val="4"/>
      </x:rPr>
      <x:t xml:space="preserve">T</x:t>
    </x:r>
    <x:r>
      <x:rPr>
        <x:b/>
        <x:sz val="16"/>
        <x:rFont val="Noto Sans CJK SC"/>
        <x:family val="2"/>
      </x:rPr>
      <x:t xml:space="preserve">輪</x:t>
    </x:r>
  </x:si>
  <x:si>
    <x:r>
      <x:rPr>
        <x:b/>
        <x:sz val="16"/>
        <x:rFont val="標楷體"/>
        <x:family val="4"/>
      </x:rPr>
      <x:t xml:space="preserve">R</x:t>
    </x:r>
    <x:r>
      <x:rPr>
        <x:b/>
        <x:sz val="16"/>
        <x:rFont val="Noto Sans CJK SC"/>
        <x:family val="2"/>
      </x:rPr>
      <x:t xml:space="preserve">型手把</x:t>
    </x:r>
  </x:si>
  <x:si>
    <x:r>
      <x:rPr>
        <x:b/>
        <x:sz val="16"/>
        <x:rFont val="Noto Sans CJK SC"/>
        <x:family val="2"/>
      </x:rPr>
      <x:t xml:space="preserve">合計</x:t>
    </x:r>
    <x:r>
      <x:rPr>
        <x:b/>
        <x:sz val="16"/>
        <x:rFont val="標楷體"/>
        <x:family val="4"/>
      </x:rPr>
      <x:t xml:space="preserve">: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</x:si>
</x:sst>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_ "/>
    <x:numFmt numFmtId="166" formatCode="0_ "/>
  </x:numFmts>
  <x:fonts count="9">
    <x:font>
      <x:sz val="12"/>
      <x:name val="新細明體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name val="Noto Sans CJK SC"/>
    </x:font>
    <x:font>
      <x:sz val="16"/>
      <x:name val="標楷體"/>
    </x:font>
    <x:font>
      <x:b/>
      <x:sz val="12"/>
      <x:name val="新細明體"/>
    </x:font>
    <x:font>
      <x:b/>
      <x:sz val="16"/>
      <x:name val="Noto Sans CJK SC"/>
    </x:font>
    <x:font>
      <x:b/>
      <x:sz val="16"/>
      <x:name val="標楷體"/>
    </x:font>
  </x:fonts>
  <x:fills count="2">
    <x:fill>
      <x:patternFill patternType="none"/>
    </x:fill>
    <x:fill>
      <x:patternFill patternType="gray125"/>
    </x:fill>
  </x:fills>
  <x:borders count="10"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  <x:border diagonalUp="0" diagonalDown="0"/>
    <x:border diagonalUp="0" diagonalDown="0"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2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1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1" xfId="0" applyFont="1" applyBorder="1" applyAlignment="1">
      <x:alignment horizontal="left" vertical="center" wrapText="0"/>
    </x:xf>
    <x:xf numFmtId="164" fontId="4" fillId="0" borderId="0" xfId="0" applyFont="1" applyBorder="0" applyAlignment="1">
      <x:alignment horizontal="left" vertical="center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general" vertical="center" wrapText="0"/>
    </x:xf>
    <x:xf numFmtId="164" fontId="4" fillId="0" borderId="2" xfId="0" applyFont="1" applyBorder="1" applyAlignment="1">
      <x:alignment horizontal="center" vertical="center" wrapText="0"/>
    </x:xf>
    <x:xf numFmtId="165" fontId="4" fillId="0" borderId="2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0"/>
    </x:xf>
    <x:xf numFmtId="164" fontId="4" fillId="0" borderId="2" xfId="0" applyFont="1" applyBorder="1" applyAlignment="0">
      <x:alignment horizontal="general" vertical="center" wrapText="0"/>
    </x:xf>
    <x:xf numFmtId="166" fontId="5" fillId="0" borderId="2" xfId="0" applyFont="1" applyBorder="1" applyAlignment="0">
      <x:alignment horizontal="general" vertical="center" wrapText="0"/>
    </x:xf>
    <x:xf numFmtId="164" fontId="5" fillId="0" borderId="2" xfId="0" applyFont="1" applyBorder="1" applyAlignment="0">
      <x:alignment horizontal="general" vertical="center" wrapText="0"/>
    </x:xf>
    <x:xf numFmtId="164" fontId="6" fillId="0" borderId="0" xfId="0" applyFont="1" applyBorder="0" applyAlignment="0">
      <x:alignment horizontal="general" vertical="center" wrapText="0"/>
    </x:xf>
    <x:xf numFmtId="164" fontId="5" fillId="0" borderId="4" xfId="0" applyFont="1" applyBorder="1" applyAlignment="0">
      <x:alignment horizontal="general" vertical="center" wrapText="0"/>
    </x:xf>
    <x:xf numFmtId="164" fontId="4" fillId="0" borderId="4" xfId="0" applyFont="1" applyBorder="1" applyAlignment="0">
      <x:alignment horizontal="general" vertical="center" wrapText="0"/>
    </x:xf>
    <x:xf numFmtId="166" fontId="5" fillId="0" borderId="4" xfId="0" applyFont="1" applyBorder="1" applyAlignment="0">
      <x:alignment horizontal="general" vertical="center" wrapText="0"/>
    </x:xf>
    <x:xf numFmtId="164" fontId="7" fillId="0" borderId="0" xfId="0" applyFont="1" applyBorder="0" applyAlignment="1">
      <x:alignment horizontal="center" vertical="center" wrapText="0"/>
    </x:xf>
    <x:xf numFmtId="164" fontId="7" fillId="0" borderId="1" xfId="0" applyFont="1" applyBorder="1" applyAlignment="1">
      <x:alignment horizontal="left" vertical="center" wrapText="0"/>
    </x:xf>
    <x:xf numFmtId="164" fontId="7" fillId="0" borderId="0" xfId="0" applyFont="1" applyBorder="1" applyAlignment="1">
      <x:alignment horizontal="left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left" vertical="center" wrapText="0"/>
    </x:xf>
    <x:xf numFmtId="164" fontId="8" fillId="0" borderId="0" xfId="0" applyFont="1" applyBorder="0" applyAlignment="1">
      <x:alignment horizontal="left" vertical="center" wrapText="0"/>
    </x:xf>
    <x:xf numFmtId="164" fontId="7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0">
      <x:alignment horizontal="general" vertical="center" wrapText="0"/>
    </x:xf>
    <x:xf numFmtId="166" fontId="8" fillId="0" borderId="2" xfId="0" applyFont="1" applyBorder="1" applyAlignment="0">
      <x:alignment horizontal="general" vertical="center" wrapText="0"/>
    </x:xf>
    <x:xf numFmtId="164" fontId="8" fillId="0" borderId="2" xfId="0" applyFont="1" applyBorder="1" applyAlignment="0">
      <x:alignment horizontal="general" vertical="center" wrapText="0"/>
    </x:xf>
    <x:xf numFmtId="164" fontId="8" fillId="0" borderId="4" xfId="0" applyFont="1" applyBorder="1" applyAlignment="0">
      <x:alignment horizontal="general" vertical="center" wrapText="0"/>
    </x:xf>
    <x:xf numFmtId="164" fontId="7" fillId="0" borderId="4" xfId="0" applyFont="1" applyBorder="1" applyAlignment="0">
      <x:alignment horizontal="general" vertical="center" wrapText="0"/>
    </x:xf>
    <x:xf numFmtId="166" fontId="8" fillId="0" borderId="4" xfId="0" applyFont="1" applyBorder="1" applyAlignment="0">
      <x:alignment horizontal="general" vertical="center" wrapText="0"/>
    </x:xf>
    <x:xf numFmtId="164" fontId="8" fillId="0" borderId="4" xfId="0" applyFont="1" applyBorder="1" applyAlignment="1">
      <x:alignment horizontal="center" vertical="center" wrapText="0"/>
    </x:xf>
    <x:xf numFmtId="164" fontId="0" fillId="0" borderId="5" xfId="0" applyNumberFormat="1" applyFont="1" applyFill="1" applyBorder="1" applyAlignment="1">
      <x:alignment horizontal="general" vertical="center" wrapText="0"/>
    </x:xf>
    <x:xf numFmtId="164" fontId="4" fillId="0" borderId="5" xfId="0" applyNumberFormat="1" applyFont="1" applyFill="1" applyBorder="1" applyAlignment="1">
      <x:alignment horizontal="center" vertical="center" wrapText="0"/>
    </x:xf>
    <x:xf numFmtId="164" fontId="4" fillId="0" borderId="6" xfId="0" applyNumberFormat="1" applyFont="1" applyFill="1" applyBorder="1" applyAlignment="1">
      <x:alignment horizontal="left" vertical="center" wrapText="0"/>
    </x:xf>
    <x:xf numFmtId="164" fontId="4" fillId="0" borderId="5" xfId="0" applyNumberFormat="1" applyFont="1" applyFill="1" applyBorder="1" applyAlignment="1">
      <x:alignment horizontal="left" vertical="center" wrapText="0"/>
    </x:xf>
    <x:xf numFmtId="164" fontId="5" fillId="0" borderId="6" xfId="0" applyNumberFormat="1" applyFont="1" applyFill="1" applyBorder="1" applyAlignment="1">
      <x:alignment horizontal="center" vertical="center" wrapText="0"/>
    </x:xf>
    <x:xf numFmtId="164" fontId="5" fillId="0" borderId="6" xfId="0" applyNumberFormat="1" applyFont="1" applyFill="1" applyBorder="1" applyAlignment="1">
      <x:alignment horizontal="general" vertical="center" wrapText="0"/>
    </x:xf>
    <x:xf numFmtId="164" fontId="4" fillId="0" borderId="7" xfId="0" applyNumberFormat="1" applyFont="1" applyFill="1" applyBorder="1" applyAlignment="1">
      <x:alignment horizontal="center" vertical="center" wrapText="0"/>
    </x:xf>
    <x:xf numFmtId="165" fontId="4" fillId="0" borderId="7" xfId="0" applyNumberFormat="1" applyFont="1" applyFill="1" applyBorder="1" applyAlignment="1">
      <x:alignment horizontal="center" vertical="center" wrapText="0"/>
    </x:xf>
    <x:xf numFmtId="164" fontId="5" fillId="0" borderId="8" xfId="0" applyNumberFormat="1" applyFont="1" applyFill="1" applyBorder="1" applyAlignment="1">
      <x:alignment horizontal="center" vertical="center" wrapText="0"/>
    </x:xf>
    <x:xf numFmtId="164" fontId="4" fillId="0" borderId="7" xfId="0" applyNumberFormat="1" applyFont="1" applyFill="1" applyBorder="1" applyAlignment="1">
      <x:alignment horizontal="general" vertical="center" wrapText="0"/>
    </x:xf>
    <x:xf numFmtId="166" fontId="5" fillId="0" borderId="7" xfId="0" applyNumberFormat="1" applyFont="1" applyFill="1" applyBorder="1" applyAlignment="1">
      <x:alignment horizontal="general" vertical="center" wrapText="0"/>
    </x:xf>
    <x:xf numFmtId="164" fontId="5" fillId="0" borderId="7" xfId="0" applyNumberFormat="1" applyFont="1" applyFill="1" applyBorder="1" applyAlignment="1">
      <x:alignment horizontal="general" vertical="center" wrapText="0"/>
    </x:xf>
    <x:xf numFmtId="164" fontId="6" fillId="0" borderId="5" xfId="0" applyNumberFormat="1" applyFont="1" applyFill="1" applyBorder="1" applyAlignment="1">
      <x:alignment horizontal="general" vertical="center" wrapText="0"/>
    </x:xf>
    <x:xf numFmtId="164" fontId="5" fillId="0" borderId="9" xfId="0" applyNumberFormat="1" applyFont="1" applyFill="1" applyBorder="1" applyAlignment="1">
      <x:alignment horizontal="general" vertical="center" wrapText="0"/>
    </x:xf>
    <x:xf numFmtId="164" fontId="4" fillId="0" borderId="9" xfId="0" applyNumberFormat="1" applyFont="1" applyFill="1" applyBorder="1" applyAlignment="1">
      <x:alignment horizontal="general" vertical="center" wrapText="0"/>
    </x:xf>
    <x:xf numFmtId="166" fontId="5" fillId="0" borderId="9" xfId="0" applyNumberFormat="1" applyFont="1" applyFill="1" applyBorder="1" applyAlignment="1">
      <x:alignment horizontal="general" vertical="center" wrapText="0"/>
    </x:xf>
    <x:xf numFmtId="164" fontId="7" fillId="0" borderId="5" xfId="0" applyNumberFormat="1" applyFont="1" applyFill="1" applyBorder="1" applyAlignment="1">
      <x:alignment horizontal="center" vertical="center" wrapText="0"/>
    </x:xf>
    <x:xf numFmtId="164" fontId="7" fillId="0" borderId="6" xfId="0" applyNumberFormat="1" applyFont="1" applyFill="1" applyBorder="1" applyAlignment="1">
      <x:alignment horizontal="left" vertical="center" wrapText="0"/>
    </x:xf>
    <x:xf numFmtId="164" fontId="7" fillId="0" borderId="5" xfId="0" applyNumberFormat="1" applyFont="1" applyFill="1" applyBorder="1" applyAlignment="1">
      <x:alignment horizontal="left" vertical="center" wrapText="0"/>
    </x:xf>
    <x:xf numFmtId="164" fontId="8" fillId="0" borderId="6" xfId="0" applyNumberFormat="1" applyFont="1" applyFill="1" applyBorder="1" applyAlignment="1">
      <x:alignment horizontal="center" vertical="center" wrapText="0"/>
    </x:xf>
    <x:xf numFmtId="164" fontId="8" fillId="0" borderId="6" xfId="0" applyNumberFormat="1" applyFont="1" applyFill="1" applyBorder="1" applyAlignment="1">
      <x:alignment horizontal="left" vertical="center" wrapText="0"/>
    </x:xf>
    <x:xf numFmtId="164" fontId="8" fillId="0" borderId="5" xfId="0" applyNumberFormat="1" applyFont="1" applyFill="1" applyBorder="1" applyAlignment="1">
      <x:alignment horizontal="left" vertical="center" wrapText="0"/>
    </x:xf>
    <x:xf numFmtId="164" fontId="7" fillId="0" borderId="7" xfId="0" applyNumberFormat="1" applyFont="1" applyFill="1" applyBorder="1" applyAlignment="1">
      <x:alignment horizontal="center" vertical="center" wrapText="0"/>
    </x:xf>
    <x:xf numFmtId="164" fontId="7" fillId="0" borderId="7" xfId="0" applyNumberFormat="1" applyFont="1" applyFill="1" applyBorder="1" applyAlignment="1">
      <x:alignment horizontal="general" vertical="center" wrapText="0"/>
    </x:xf>
    <x:xf numFmtId="166" fontId="8" fillId="0" borderId="7" xfId="0" applyNumberFormat="1" applyFont="1" applyFill="1" applyBorder="1" applyAlignment="1">
      <x:alignment horizontal="general" vertical="center" wrapText="0"/>
    </x:xf>
    <x:xf numFmtId="164" fontId="8" fillId="0" borderId="7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general" vertical="center" wrapText="0"/>
    </x:xf>
    <x:xf numFmtId="164" fontId="7" fillId="0" borderId="9" xfId="0" applyNumberFormat="1" applyFont="1" applyFill="1" applyBorder="1" applyAlignment="1">
      <x:alignment horizontal="general" vertical="center" wrapText="0"/>
    </x:xf>
    <x:xf numFmtId="166" fontId="8" fillId="0" borderId="9" xfId="0" applyNumberFormat="1" applyFont="1" applyFill="1" applyBorder="1" applyAlignment="1">
      <x:alignment horizontal="general" vertical="center" wrapText="0"/>
    </x:xf>
    <x:xf numFmtId="164" fontId="8" fillId="0" borderId="9" xfId="0" applyNumberFormat="1" applyFont="1" applyFill="1" applyBorder="1" applyAlignment="1">
      <x:alignment horizontal="center" vertical="center" wrapText="0"/>
    </x:xf>
    <x:xf numFmtId="166" fontId="5" fillId="0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ece065f944114" /><Relationship Type="http://schemas.openxmlformats.org/officeDocument/2006/relationships/theme" Target="/xl/theme/theme1.xml" Id="R83163116dcf140ba" /><Relationship Type="http://schemas.openxmlformats.org/officeDocument/2006/relationships/sharedStrings" Target="/xl/sharedStrings.xml" Id="Ra2da9cd79edd47bc" /><Relationship Type="http://schemas.openxmlformats.org/officeDocument/2006/relationships/worksheet" Target="/xl/worksheets/sheet1.xml" Id="Rc49d2dfb0c3c4706" /><Relationship Type="http://schemas.openxmlformats.org/officeDocument/2006/relationships/worksheet" Target="/xl/worksheets/sheet2.xml" Id="Rd3bf71b8a1b043f7" /><Relationship Type="http://schemas.openxmlformats.org/officeDocument/2006/relationships/worksheet" Target="/xl/worksheets/sheet3.xml" Id="Ra08d008e89bc4e2c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10.65999984741211" style="1" hidden="0" customWidth="1"/>
    <x:col min="2" max="2" width="10.100000381469727" style="1" hidden="0" customWidth="1"/>
    <x:col min="3" max="9" width="8.880000114440918" style="1" hidden="0" customWidth="0"/>
    <x:col min="10" max="10" width="9.100000381469727" style="1" hidden="0" customWidth="1"/>
    <x:col min="11" max="11" width="11.210000038146973" style="1" hidden="0" customWidth="1"/>
    <x:col min="12" max="18" width="10.989999771118164" style="1" hidden="0" customWidth="1"/>
    <x:col min="19" max="20" width="8.880000114440918" style="1" hidden="0" customWidth="0"/>
  </x:cols>
  <x:sheetData>
    <x:row r="1" ht="22.200000762939453" hidden="0">
      <x:c r="A1" s="2" t="s">
        <x:v>0</x:v>
      </x:c>
      <x:c r="B1" s="2" t="n">
        <x:v>1</x:v>
      </x:c>
      <x:c r="C1" s="3" t="s">
        <x:v>1</x:v>
      </x:c>
      <x:c r="D1" s="3" t="str">
        <x:v>勝美琚C2-15F</x:v>
      </x:c>
      <x:c r="E1" s="3"/>
      <x:c r="F1" s="3"/>
      <x:c r="G1" s="3"/>
      <x:c r="H1" s="3"/>
      <x:c r="I1" s="3"/>
      <x:c r="J1" s="3"/>
      <x:c r="K1" s="4" t="s">
        <x:v>2</x:v>
      </x:c>
      <x:c r="L1" s="4" t="str">
        <x:v>客廳立面圖1-1</x:v>
      </x:c>
      <x:c r="M1" s="4"/>
      <x:c r="N1" s="4"/>
    </x:row>
    <x:row r="2" ht="22.200000762939453" hidden="0">
      <x:c r="A2" s="5"/>
      <x:c r="B2" s="5"/>
      <x:c r="C2" s="5"/>
      <x:c r="D2" s="5"/>
      <x:c r="E2" s="5"/>
      <x:c r="F2" s="5"/>
      <x:c r="G2" s="6"/>
      <x:c r="H2" s="5"/>
      <x:c r="I2" s="3"/>
      <x:c r="J2" s="3"/>
      <x:c r="K2" s="4"/>
      <x:c r="L2" s="4"/>
      <x:c r="M2" s="4"/>
      <x:c r="N2" s="4"/>
      <x:c r="O2" s="4"/>
      <x:c r="P2" s="4"/>
      <x:c r="Q2" s="4"/>
      <x:c r="R2" s="4"/>
    </x:row>
    <x:row r="3" ht="22.200000762939453" hidden="0">
      <x:c r="A3" s="7" t="s">
        <x:v>3</x:v>
      </x:c>
      <x:c r="B3" s="8" t="s">
        <x:v>4</x:v>
      </x:c>
      <x:c r="C3" s="8"/>
      <x:c r="D3" s="7" t="s">
        <x:v>5</x:v>
      </x:c>
      <x:c r="E3" s="7"/>
      <x:c r="F3" s="7" t="s">
        <x:v>6</x:v>
      </x:c>
      <x:c r="G3" s="7"/>
      <x:c r="H3" s="7" t="s">
        <x:v>7</x:v>
      </x:c>
      <x:c r="I3" s="7" t="s">
        <x:v>8</x:v>
      </x:c>
      <x:c r="J3" s="7" t="s">
        <x:v>9</x:v>
      </x:c>
      <x:c r="K3" s="7" t="s">
        <x:v>10</x:v>
      </x:c>
      <x:c r="L3" s="7"/>
      <x:c r="M3" s="7" t="s">
        <x:v>11</x:v>
      </x:c>
      <x:c r="N3" s="7" t="s">
        <x:v>12</x:v>
      </x:c>
      <x:c r="O3" s="7" t="s">
        <x:v>6</x:v>
      </x:c>
      <x:c r="P3" s="7" t="s">
        <x:v>13</x:v>
      </x:c>
      <x:c r="Q3" s="7" t="s">
        <x:v>14</x:v>
      </x:c>
      <x:c r="R3" s="9" t="s">
        <x:v>15</x:v>
      </x:c>
      <x:c r="S3" s="9" t="s">
        <x:v>16</x:v>
      </x:c>
      <x:c r="T3"/>
    </x:row>
    <x:row r="4" ht="16" hidden="0" customHeight="1">
      <x:c r="A4" s="10" t="str">
        <x:v>側板</x:v>
      </x:c>
      <x:c r="B4" s="10" t="n">
        <x:v>374</x:v>
      </x:c>
      <x:c r="C4" s="10" t="n">
        <x:v>320</x:v>
      </x:c>
      <x:c r="D4" s="10" t="n">
        <x:v>18</x:v>
      </x:c>
      <x:c r="E4" s="10"/>
      <x:c r="F4" s="10" t="n">
        <x:v>2</x:v>
      </x:c>
      <x:c r="G4" s="10"/>
      <x:c r="H4" s="10" t="n">
        <x:v>69</x:v>
      </x:c>
      <x:c r="I4" s="11" t="n">
        <x:f aca="0">ROUND((IF((B4*C4)/90000&lt;1,1))+IF((B4*C4)/90000&gt;=1,(B4*C4)/90000),1.1)</x:f>
        <x:v>1.3</x:v>
      </x:c>
      <x:c r="J4" s="11" t="n">
        <x:f aca="0">SUM(F4*I4)</x:f>
        <x:v>2.6</x:v>
      </x:c>
      <x:c r="K4" s="11" t="n">
        <x:f aca="0">SUM(H4*J4)</x:f>
        <x:v>179.4</x:v>
      </x:c>
      <x:c r="L4" s="61"/>
      <x:c r="M4" s="11" t="n">
        <x:f aca="0"/>
        <x:v>319</x:v>
      </x:c>
      <x:c r="N4" s="11" t="n">
        <x:f aca="0"/>
        <x:v>373</x:v>
      </x:c>
      <x:c r="O4" s="11" t="n">
        <x:f aca="0"/>
        <x:v>2</x:v>
      </x:c>
      <x:c r="P4" s="11"/>
      <x:c r="Q4" s="11" t="str">
        <x:f aca="0">A4</x:f>
        <x:v>側板</x:v>
      </x:c>
      <x:c r="R4" s="1" t="n">
        <x:f aca="0"/>
        <x:v>2776</x:v>
      </x:c>
      <x:c r="S4"/>
      <x:c r="T4"/>
    </x:row>
    <x:row r="5" ht="16" hidden="0" customHeight="1">
      <x:c r="A5" s="10" t="str">
        <x:v>側板</x:v>
      </x:c>
      <x:c r="B5" s="10" t="n">
        <x:v>394</x:v>
      </x:c>
      <x:c r="C5" s="10" t="n">
        <x:v>320</x:v>
      </x:c>
      <x:c r="D5" s="10" t="n">
        <x:v>18</x:v>
      </x:c>
      <x:c r="E5" s="10"/>
      <x:c r="F5" s="10" t="n">
        <x:v>4</x:v>
      </x:c>
      <x:c r="G5" s="10"/>
      <x:c r="H5" s="10" t="n">
        <x:v>69</x:v>
      </x:c>
      <x:c r="I5" s="11" t="n">
        <x:f aca="0">ROUND((IF((B5*C5)/90000&lt;1,1))+IF((B5*C5)/90000&gt;=1,(B5*C5)/90000),1.1)</x:f>
        <x:v>1.4</x:v>
      </x:c>
      <x:c r="J5" s="11" t="n">
        <x:f aca="0">SUM(F5*I5)</x:f>
        <x:v>5.6</x:v>
      </x:c>
      <x:c r="K5" s="11" t="n">
        <x:f aca="0">SUM(H5*J5)</x:f>
        <x:v>386.4</x:v>
      </x:c>
      <x:c r="L5" s="61"/>
      <x:c r="M5" s="11" t="n">
        <x:f aca="0"/>
        <x:v>319</x:v>
      </x:c>
      <x:c r="N5" s="11" t="n">
        <x:f aca="0"/>
        <x:v>393</x:v>
      </x:c>
      <x:c r="O5" s="11" t="n">
        <x:f aca="0"/>
        <x:v>4</x:v>
      </x:c>
      <x:c r="P5" s="11"/>
      <x:c r="Q5" s="11" t="str">
        <x:f aca="0">A5</x:f>
        <x:v>側板</x:v>
      </x:c>
      <x:c r="R5" s="1" t="n">
        <x:f aca="0"/>
        <x:v>5712</x:v>
      </x:c>
      <x:c r="S5"/>
      <x:c r="T5"/>
    </x:row>
    <x:row r="6" ht="16" hidden="0" customHeight="1">
      <x:c r="A6" s="10" t="str">
        <x:v>側板</x:v>
      </x:c>
      <x:c r="B6" s="10" t="n">
        <x:v>394</x:v>
      </x:c>
      <x:c r="C6" s="10" t="n">
        <x:v>736</x:v>
      </x:c>
      <x:c r="D6" s="10" t="n">
        <x:v>18</x:v>
      </x:c>
      <x:c r="E6" s="10"/>
      <x:c r="F6" s="10" t="n">
        <x:v>2</x:v>
      </x:c>
      <x:c r="G6" s="10"/>
      <x:c r="H6" s="10" t="n">
        <x:v>69</x:v>
      </x:c>
      <x:c r="I6" s="11" t="n">
        <x:f aca="0">ROUND((IF((B6*C6)/90000&lt;1,1))+IF((B6*C6)/90000&gt;=1,(B6*C6)/90000),1.1)</x:f>
        <x:v>3.2</x:v>
      </x:c>
      <x:c r="J6" s="11" t="n">
        <x:f aca="0">SUM(F6*I6)</x:f>
        <x:v>6.4</x:v>
      </x:c>
      <x:c r="K6" s="11" t="n">
        <x:f aca="0">SUM(H6*J6)</x:f>
        <x:v>441.6</x:v>
      </x:c>
      <x:c r="L6" s="61"/>
      <x:c r="M6" s="11" t="n">
        <x:f aca="0"/>
        <x:v>735</x:v>
      </x:c>
      <x:c r="N6" s="11" t="n">
        <x:f aca="0"/>
        <x:v>393</x:v>
      </x:c>
      <x:c r="O6" s="11" t="n">
        <x:f aca="0"/>
        <x:v>2</x:v>
      </x:c>
      <x:c r="P6" s="11"/>
      <x:c r="Q6" s="11" t="str">
        <x:f aca="0">A6</x:f>
        <x:v>側板</x:v>
      </x:c>
      <x:c r="R6" s="1" t="n">
        <x:f aca="0"/>
        <x:v>4520</x:v>
      </x:c>
      <x:c r="S6"/>
      <x:c r="T6"/>
    </x:row>
    <x:row r="7" ht="16" hidden="0" customHeight="1">
      <x:c r="A7" s="10" t="str">
        <x:v>側板</x:v>
      </x:c>
      <x:c r="B7" s="10" t="n">
        <x:v>394</x:v>
      </x:c>
      <x:c r="C7" s="10" t="n">
        <x:v>864</x:v>
      </x:c>
      <x:c r="D7" s="10" t="n">
        <x:v>18</x:v>
      </x:c>
      <x:c r="E7" s="10"/>
      <x:c r="F7" s="10" t="n">
        <x:v>2</x:v>
      </x:c>
      <x:c r="G7" s="10"/>
      <x:c r="H7" s="10" t="n">
        <x:v>69</x:v>
      </x:c>
      <x:c r="I7" s="11" t="n">
        <x:f aca="0">ROUND((IF((B7*C7)/90000&lt;1,1))+IF((B7*C7)/90000&gt;=1,(B7*C7)/90000),1.1)</x:f>
        <x:v>3.8</x:v>
      </x:c>
      <x:c r="J7" s="11" t="n">
        <x:f aca="0">SUM(F7*I7)</x:f>
        <x:v>7.6</x:v>
      </x:c>
      <x:c r="K7" s="11" t="n">
        <x:f aca="0">SUM(H7*J7)</x:f>
        <x:v>524.4</x:v>
      </x:c>
      <x:c r="L7" s="61"/>
      <x:c r="M7" s="11" t="n">
        <x:f aca="0"/>
        <x:v>863</x:v>
      </x:c>
      <x:c r="N7" s="11" t="n">
        <x:f aca="0"/>
        <x:v>393</x:v>
      </x:c>
      <x:c r="O7" s="11" t="n">
        <x:f aca="0"/>
        <x:v>2</x:v>
      </x:c>
      <x:c r="P7" s="11"/>
      <x:c r="Q7" s="11" t="str">
        <x:f aca="0">A7</x:f>
        <x:v>側板</x:v>
      </x:c>
      <x:c r="R7" s="1" t="n">
        <x:f aca="0"/>
        <x:v>5032</x:v>
      </x:c>
      <x:c r="S7"/>
      <x:c r="T7"/>
    </x:row>
    <x:row r="8" ht="16" hidden="0" customHeight="1">
      <x:c r="A8" s="10" t="str">
        <x:v>側板</x:v>
      </x:c>
      <x:c r="B8" s="10" t="n">
        <x:v>394</x:v>
      </x:c>
      <x:c r="C8" s="10" t="n">
        <x:v>2080</x:v>
      </x:c>
      <x:c r="D8" s="10" t="n">
        <x:v>18</x:v>
      </x:c>
      <x:c r="E8" s="10"/>
      <x:c r="F8" s="10" t="n">
        <x:v>2</x:v>
      </x:c>
      <x:c r="G8" s="10"/>
      <x:c r="H8" s="10" t="n">
        <x:v>69</x:v>
      </x:c>
      <x:c r="I8" s="11" t="n">
        <x:f aca="0">ROUND((IF((B8*C8)/90000&lt;1,1))+IF((B8*C8)/90000&gt;=1,(B8*C8)/90000),1.1)</x:f>
        <x:v>9.1</x:v>
      </x:c>
      <x:c r="J8" s="11" t="n">
        <x:f aca="0">SUM(F8*I8)</x:f>
        <x:v>18.2</x:v>
      </x:c>
      <x:c r="K8" s="11" t="n">
        <x:f aca="0">SUM(H8*J8)</x:f>
        <x:v>1255.8</x:v>
      </x:c>
      <x:c r="L8" s="61"/>
      <x:c r="M8" s="11" t="n">
        <x:f aca="0"/>
        <x:v>2079</x:v>
      </x:c>
      <x:c r="N8" s="11" t="n">
        <x:f aca="0"/>
        <x:v>393</x:v>
      </x:c>
      <x:c r="O8" s="11" t="n">
        <x:f aca="0"/>
        <x:v>2</x:v>
      </x:c>
      <x:c r="P8" s="11"/>
      <x:c r="Q8" s="11" t="str">
        <x:f aca="0">A8</x:f>
        <x:v>側板</x:v>
      </x:c>
      <x:c r="R8" s="1" t="n">
        <x:f aca="0"/>
        <x:v>9896</x:v>
      </x:c>
      <x:c r="S8"/>
      <x:c r="T8"/>
    </x:row>
    <x:row r="9" ht="16" hidden="0" customHeight="1">
      <x:c r="A9" s="10" t="str">
        <x:v>側板</x:v>
      </x:c>
      <x:c r="B9" s="10" t="n">
        <x:v>394</x:v>
      </x:c>
      <x:c r="C9" s="10" t="n">
        <x:v>2176</x:v>
      </x:c>
      <x:c r="D9" s="10" t="n">
        <x:v>18</x:v>
      </x:c>
      <x:c r="E9" s="10"/>
      <x:c r="F9" s="10" t="n">
        <x:v>6</x:v>
      </x:c>
      <x:c r="G9" s="10"/>
      <x:c r="H9" s="10" t="n">
        <x:v>69</x:v>
      </x:c>
      <x:c r="I9" s="11" t="n">
        <x:f aca="0">ROUND((IF((B9*C9)/90000&lt;1,1))+IF((B9*C9)/90000&gt;=1,(B9*C9)/90000),1.1)</x:f>
        <x:v>9.5</x:v>
      </x:c>
      <x:c r="J9" s="11" t="n">
        <x:f aca="0">SUM(F9*I9)</x:f>
        <x:v>57</x:v>
      </x:c>
      <x:c r="K9" s="11" t="n">
        <x:f aca="0">SUM(H9*J9)</x:f>
        <x:v>3933</x:v>
      </x:c>
      <x:c r="L9" s="61"/>
      <x:c r="M9" s="11" t="n">
        <x:f aca="0"/>
        <x:v>2175</x:v>
      </x:c>
      <x:c r="N9" s="11" t="n">
        <x:f aca="0"/>
        <x:v>393</x:v>
      </x:c>
      <x:c r="O9" s="11" t="n">
        <x:f aca="0"/>
        <x:v>6</x:v>
      </x:c>
      <x:c r="P9" s="11"/>
      <x:c r="Q9" s="11" t="str">
        <x:f aca="0">A9</x:f>
        <x:v>側板</x:v>
      </x:c>
      <x:c r="R9" s="1" t="n">
        <x:f aca="0"/>
        <x:v>30840</x:v>
      </x:c>
      <x:c r="S9"/>
      <x:c r="T9"/>
    </x:row>
    <x:row r="10" ht="16" hidden="0" customHeight="1">
      <x:c r="A10" s="10" t="str">
        <x:v>頂底板</x:v>
      </x:c>
      <x:c r="B10" s="10" t="n">
        <x:v>355</x:v>
      </x:c>
      <x:c r="C10" s="10" t="n">
        <x:v>614</x:v>
      </x:c>
      <x:c r="D10" s="10" t="n">
        <x:v>18</x:v>
      </x:c>
      <x:c r="E10" s="10"/>
      <x:c r="F10" s="10" t="n">
        <x:v>1</x:v>
      </x:c>
      <x:c r="G10" s="10"/>
      <x:c r="H10" s="10" t="n">
        <x:v>69</x:v>
      </x:c>
      <x:c r="I10" s="11" t="n">
        <x:f aca="0">ROUND((IF((B10*C10)/90000&lt;1,1))+IF((B10*C10)/90000&gt;=1,(B10*C10)/90000),1.1)</x:f>
        <x:v>2.4</x:v>
      </x:c>
      <x:c r="J10" s="11" t="n">
        <x:f aca="0">SUM(F10*I10)</x:f>
        <x:v>2.4</x:v>
      </x:c>
      <x:c r="K10" s="11" t="n">
        <x:f aca="0">SUM(H10*J10)</x:f>
        <x:v>165.6</x:v>
      </x:c>
      <x:c r="L10" s="61"/>
      <x:c r="M10" s="11" t="n">
        <x:f aca="0"/>
        <x:v>614</x:v>
      </x:c>
      <x:c r="N10" s="11" t="n">
        <x:f aca="0"/>
        <x:v>354</x:v>
      </x:c>
      <x:c r="O10" s="11" t="n">
        <x:f aca="0"/>
        <x:v>1</x:v>
      </x:c>
      <x:c r="P10" s="11"/>
      <x:c r="Q10" s="11" t="str">
        <x:f aca="0">A10</x:f>
        <x:v>頂底板</x:v>
      </x:c>
      <x:c r="R10" s="1" t="n">
        <x:f aca="0"/>
        <x:v>1228</x:v>
      </x:c>
      <x:c r="S10"/>
      <x:c r="T10"/>
    </x:row>
    <x:row r="11" ht="16" hidden="0" customHeight="1">
      <x:c r="A11" s="10" t="str">
        <x:v>頂底板</x:v>
      </x:c>
      <x:c r="B11" s="10" t="n">
        <x:v>374</x:v>
      </x:c>
      <x:c r="C11" s="10" t="n">
        <x:v>614</x:v>
      </x:c>
      <x:c r="D11" s="10" t="n">
        <x:v>18</x:v>
      </x:c>
      <x:c r="E11" s="10"/>
      <x:c r="F11" s="10" t="n">
        <x:v>1</x:v>
      </x:c>
      <x:c r="G11" s="10"/>
      <x:c r="H11" s="10" t="n">
        <x:v>69</x:v>
      </x:c>
      <x:c r="I11" s="11" t="n">
        <x:f aca="0">ROUND((IF((B11*C11)/90000&lt;1,1))+IF((B11*C11)/90000&gt;=1,(B11*C11)/90000),1.1)</x:f>
        <x:v>2.6</x:v>
      </x:c>
      <x:c r="J11" s="11" t="n">
        <x:f aca="0">SUM(F11*I11)</x:f>
        <x:v>2.6</x:v>
      </x:c>
      <x:c r="K11" s="11" t="n">
        <x:f aca="0">SUM(H11*J11)</x:f>
        <x:v>179.4</x:v>
      </x:c>
      <x:c r="L11" s="61"/>
      <x:c r="M11" s="11" t="n">
        <x:f aca="0"/>
        <x:v>614</x:v>
      </x:c>
      <x:c r="N11" s="11" t="n">
        <x:f aca="0"/>
        <x:v>373</x:v>
      </x:c>
      <x:c r="O11" s="11" t="n">
        <x:f aca="0"/>
        <x:v>1</x:v>
      </x:c>
      <x:c r="P11" s="11"/>
      <x:c r="Q11" s="11" t="str">
        <x:f aca="0">A11</x:f>
        <x:v>頂底板</x:v>
      </x:c>
      <x:c r="R11" s="1" t="n">
        <x:f aca="0"/>
        <x:v>1228</x:v>
      </x:c>
      <x:c r="S11"/>
      <x:c r="T11"/>
    </x:row>
    <x:row r="12" ht="16" hidden="0" customHeight="1">
      <x:c r="A12" s="10" t="str">
        <x:v>頂底板</x:v>
      </x:c>
      <x:c r="B12" s="10" t="n">
        <x:v>375</x:v>
      </x:c>
      <x:c r="C12" s="10" t="n">
        <x:v>1264</x:v>
      </x:c>
      <x:c r="D12" s="10" t="n">
        <x:v>18</x:v>
      </x:c>
      <x:c r="E12" s="10"/>
      <x:c r="F12" s="10" t="n">
        <x:v>2</x:v>
      </x:c>
      <x:c r="G12" s="10"/>
      <x:c r="H12" s="10" t="n">
        <x:v>69</x:v>
      </x:c>
      <x:c r="I12" s="11" t="n">
        <x:f aca="0">ROUND((IF((B12*C12)/90000&lt;1,1))+IF((B12*C12)/90000&gt;=1,(B12*C12)/90000),1.1)</x:f>
        <x:v>5.3</x:v>
      </x:c>
      <x:c r="J12" s="11" t="n">
        <x:f aca="0">SUM(F12*I12)</x:f>
        <x:v>10.6</x:v>
      </x:c>
      <x:c r="K12" s="11" t="n">
        <x:f aca="0">SUM(H12*J12)</x:f>
        <x:v>731.4</x:v>
      </x:c>
      <x:c r="L12" s="61"/>
      <x:c r="M12" s="11" t="n">
        <x:f aca="0"/>
        <x:v>1264</x:v>
      </x:c>
      <x:c r="N12" s="11" t="n">
        <x:f aca="0"/>
        <x:v>374</x:v>
      </x:c>
      <x:c r="O12" s="11" t="n">
        <x:f aca="0"/>
        <x:v>2</x:v>
      </x:c>
      <x:c r="P12" s="11"/>
      <x:c r="Q12" s="11" t="str">
        <x:f aca="0">A12</x:f>
        <x:v>頂底板</x:v>
      </x:c>
      <x:c r="R12" s="1" t="n">
        <x:f aca="0"/>
        <x:v>5056</x:v>
      </x:c>
      <x:c r="S12"/>
      <x:c r="T12"/>
    </x:row>
    <x:row r="13" ht="16" hidden="0" customHeight="1">
      <x:c r="A13" s="10" t="str">
        <x:v>頂底板</x:v>
      </x:c>
      <x:c r="B13" s="10" t="n">
        <x:v>394</x:v>
      </x:c>
      <x:c r="C13" s="10" t="n">
        <x:v>364</x:v>
      </x:c>
      <x:c r="D13" s="10" t="n">
        <x:v>18</x:v>
      </x:c>
      <x:c r="E13" s="10"/>
      <x:c r="F13" s="10" t="n">
        <x:v>2</x:v>
      </x:c>
      <x:c r="G13" s="10"/>
      <x:c r="H13" s="10" t="n">
        <x:v>69</x:v>
      </x:c>
      <x:c r="I13" s="11" t="n">
        <x:f aca="0">ROUND((IF((B13*C13)/90000&lt;1,1))+IF((B13*C13)/90000&gt;=1,(B13*C13)/90000),1.1)</x:f>
        <x:v>1.6</x:v>
      </x:c>
      <x:c r="J13" s="11" t="n">
        <x:f aca="0">SUM(F13*I13)</x:f>
        <x:v>3.2</x:v>
      </x:c>
      <x:c r="K13" s="11" t="n">
        <x:f aca="0">SUM(H13*J13)</x:f>
        <x:v>220.8</x:v>
      </x:c>
      <x:c r="L13" s="61"/>
      <x:c r="M13" s="11" t="n">
        <x:f aca="0"/>
        <x:v>364</x:v>
      </x:c>
      <x:c r="N13" s="11" t="n">
        <x:f aca="0"/>
        <x:v>393</x:v>
      </x:c>
      <x:c r="O13" s="11" t="n">
        <x:f aca="0"/>
        <x:v>2</x:v>
      </x:c>
      <x:c r="P13" s="11"/>
      <x:c r="Q13" s="11" t="str">
        <x:f aca="0">A13</x:f>
        <x:v>頂底板</x:v>
      </x:c>
      <x:c r="R13" s="1" t="n">
        <x:f aca="0"/>
        <x:v>1456</x:v>
      </x:c>
      <x:c r="S13"/>
      <x:c r="T13"/>
    </x:row>
    <x:row r="14" ht="16" hidden="0" customHeight="1">
      <x:c r="A14" s="10" t="str">
        <x:v>頂底板</x:v>
      </x:c>
      <x:c r="B14" s="10" t="n">
        <x:v>394</x:v>
      </x:c>
      <x:c r="C14" s="10" t="n">
        <x:v>464</x:v>
      </x:c>
      <x:c r="D14" s="10" t="n">
        <x:v>18</x:v>
      </x:c>
      <x:c r="E14" s="10"/>
      <x:c r="F14" s="10" t="n">
        <x:v>2</x:v>
      </x:c>
      <x:c r="G14" s="10"/>
      <x:c r="H14" s="10" t="n">
        <x:v>69</x:v>
      </x:c>
      <x:c r="I14" s="11" t="n">
        <x:f aca="0">ROUND((IF((B14*C14)/90000&lt;1,1))+IF((B14*C14)/90000&gt;=1,(B14*C14)/90000),1.1)</x:f>
        <x:v>2</x:v>
      </x:c>
      <x:c r="J14" s="11" t="n">
        <x:f aca="0">SUM(F14*I14)</x:f>
        <x:v>4</x:v>
      </x:c>
      <x:c r="K14" s="11" t="n">
        <x:f aca="0">SUM(H14*J14)</x:f>
        <x:v>276</x:v>
      </x:c>
      <x:c r="L14" s="61"/>
      <x:c r="M14" s="11" t="n">
        <x:f aca="0"/>
        <x:v>464</x:v>
      </x:c>
      <x:c r="N14" s="11" t="n">
        <x:f aca="0"/>
        <x:v>393</x:v>
      </x:c>
      <x:c r="O14" s="11" t="n">
        <x:f aca="0"/>
        <x:v>2</x:v>
      </x:c>
      <x:c r="P14" s="11"/>
      <x:c r="Q14" s="11" t="str">
        <x:f aca="0">A14</x:f>
        <x:v>頂底板</x:v>
      </x:c>
      <x:c r="R14" s="1" t="n">
        <x:f aca="0"/>
        <x:v>1856</x:v>
      </x:c>
      <x:c r="S14"/>
      <x:c r="T14"/>
    </x:row>
    <x:row r="15" ht="16" hidden="0" customHeight="1">
      <x:c r="A15" s="10" t="str">
        <x:v>頂底板</x:v>
      </x:c>
      <x:c r="B15" s="10" t="n">
        <x:v>394</x:v>
      </x:c>
      <x:c r="C15" s="10" t="n">
        <x:v>764</x:v>
      </x:c>
      <x:c r="D15" s="10" t="n">
        <x:v>18</x:v>
      </x:c>
      <x:c r="E15" s="10"/>
      <x:c r="F15" s="10" t="n">
        <x:v>8</x:v>
      </x:c>
      <x:c r="G15" s="10"/>
      <x:c r="H15" s="10" t="n">
        <x:v>69</x:v>
      </x:c>
      <x:c r="I15" s="11" t="n">
        <x:f aca="0">ROUND((IF((B15*C15)/90000&lt;1,1))+IF((B15*C15)/90000&gt;=1,(B15*C15)/90000),1.1)</x:f>
        <x:v>3.3</x:v>
      </x:c>
      <x:c r="J15" s="11" t="n">
        <x:f aca="0">SUM(F15*I15)</x:f>
        <x:v>26.4</x:v>
      </x:c>
      <x:c r="K15" s="11" t="n">
        <x:f aca="0">SUM(H15*J15)</x:f>
        <x:v>1821.6</x:v>
      </x:c>
      <x:c r="L15" s="61"/>
      <x:c r="M15" s="11" t="n">
        <x:f aca="0"/>
        <x:v>764</x:v>
      </x:c>
      <x:c r="N15" s="11" t="n">
        <x:f aca="0"/>
        <x:v>393</x:v>
      </x:c>
      <x:c r="O15" s="11" t="n">
        <x:f aca="0"/>
        <x:v>8</x:v>
      </x:c>
      <x:c r="P15" s="11"/>
      <x:c r="Q15" s="11" t="str">
        <x:f aca="0">A15</x:f>
        <x:v>頂底板</x:v>
      </x:c>
      <x:c r="R15" s="1" t="n">
        <x:f aca="0"/>
        <x:v>12224</x:v>
      </x:c>
      <x:c r="S15"/>
      <x:c r="T15"/>
    </x:row>
    <x:row r="16" ht="16" hidden="0" customHeight="1">
      <x:c r="A16" s="10" t="str">
        <x:v>頂底板</x:v>
      </x:c>
      <x:c r="B16" s="10" t="n">
        <x:v>394</x:v>
      </x:c>
      <x:c r="C16" s="10" t="n">
        <x:v>1264</x:v>
      </x:c>
      <x:c r="D16" s="10" t="n">
        <x:v>18</x:v>
      </x:c>
      <x:c r="E16" s="10"/>
      <x:c r="F16" s="10" t="n">
        <x:v>2</x:v>
      </x:c>
      <x:c r="G16" s="10"/>
      <x:c r="H16" s="10" t="n">
        <x:v>69</x:v>
      </x:c>
      <x:c r="I16" s="11" t="n">
        <x:f aca="0">ROUND((IF((B16*C16)/90000&lt;1,1))+IF((B16*C16)/90000&gt;=1,(B16*C16)/90000),1.1)</x:f>
        <x:v>5.5</x:v>
      </x:c>
      <x:c r="J16" s="11" t="n">
        <x:f aca="0">SUM(F16*I16)</x:f>
        <x:v>11</x:v>
      </x:c>
      <x:c r="K16" s="11" t="n">
        <x:f aca="0">SUM(H16*J16)</x:f>
        <x:v>759</x:v>
      </x:c>
      <x:c r="L16" s="61"/>
      <x:c r="M16" s="11" t="n">
        <x:f aca="0"/>
        <x:v>1264</x:v>
      </x:c>
      <x:c r="N16" s="11" t="n">
        <x:f aca="0"/>
        <x:v>393</x:v>
      </x:c>
      <x:c r="O16" s="11" t="n">
        <x:f aca="0"/>
        <x:v>2</x:v>
      </x:c>
      <x:c r="P16" s="11"/>
      <x:c r="Q16" s="11" t="str">
        <x:f aca="0">A16</x:f>
        <x:v>頂底板</x:v>
      </x:c>
      <x:c r="R16" s="1" t="n">
        <x:f aca="0"/>
        <x:v>5056</x:v>
      </x:c>
      <x:c r="S16"/>
      <x:c r="T16"/>
    </x:row>
    <x:row r="17" ht="16" hidden="0" customHeight="1">
      <x:c r="A17" s="10" t="str">
        <x:v>中立板</x:v>
      </x:c>
      <x:c r="B17" s="10" t="n">
        <x:v>365</x:v>
      </x:c>
      <x:c r="C17" s="10" t="n">
        <x:v>165</x:v>
      </x:c>
      <x:c r="D17" s="10" t="n">
        <x:v>18</x:v>
      </x:c>
      <x:c r="E17" s="10"/>
      <x:c r="F17" s="10" t="n">
        <x:v>1</x:v>
      </x:c>
      <x:c r="G17" s="10"/>
      <x:c r="H17" s="10" t="n">
        <x:v>74</x:v>
      </x:c>
      <x:c r="I17" s="11" t="n">
        <x:f aca="0">ROUND((IF((B17*C17)/90000&lt;1,1))+IF((B17*C17)/90000&gt;=1,(B17*C17)/90000),1.1)</x:f>
        <x:v>1</x:v>
      </x:c>
      <x:c r="J17" s="11" t="n">
        <x:f aca="0">SUM(F17*I17)</x:f>
        <x:v>1</x:v>
      </x:c>
      <x:c r="K17" s="11" t="n">
        <x:f aca="0">SUM(H17*J17)</x:f>
        <x:v>74</x:v>
      </x:c>
      <x:c r="L17" s="61"/>
      <x:c r="M17" s="11" t="n">
        <x:f aca="0"/>
        <x:v>165</x:v>
      </x:c>
      <x:c r="N17" s="11" t="n">
        <x:f aca="0"/>
        <x:v>364</x:v>
      </x:c>
      <x:c r="O17" s="11" t="n">
        <x:f aca="0"/>
        <x:v>1</x:v>
      </x:c>
      <x:c r="P17" s="11"/>
      <x:c r="Q17" s="11" t="str">
        <x:f aca="0">A17</x:f>
        <x:v>中立板</x:v>
      </x:c>
      <x:c r="R17" s="1" t="n">
        <x:f aca="0"/>
        <x:v>165</x:v>
      </x:c>
      <x:c r="S17"/>
      <x:c r="T17"/>
    </x:row>
    <x:row r="18" ht="16" hidden="0" customHeight="1">
      <x:c r="A18" s="10" t="str">
        <x:v>中立板</x:v>
      </x:c>
      <x:c r="B18" s="10" t="n">
        <x:v>365</x:v>
      </x:c>
      <x:c r="C18" s="10" t="n">
        <x:v>284</x:v>
      </x:c>
      <x:c r="D18" s="10" t="n">
        <x:v>18</x:v>
      </x:c>
      <x:c r="E18" s="10"/>
      <x:c r="F18" s="10" t="n">
        <x:v>2</x:v>
      </x:c>
      <x:c r="G18" s="10"/>
      <x:c r="H18" s="10" t="n">
        <x:v>74</x:v>
      </x:c>
      <x:c r="I18" s="11" t="n">
        <x:f aca="0">ROUND((IF((B18*C18)/90000&lt;1,1))+IF((B18*C18)/90000&gt;=1,(B18*C18)/90000),1.1)</x:f>
        <x:v>1.2</x:v>
      </x:c>
      <x:c r="J18" s="11" t="n">
        <x:f aca="0">SUM(F18*I18)</x:f>
        <x:v>2.4</x:v>
      </x:c>
      <x:c r="K18" s="11" t="n">
        <x:f aca="0">SUM(H18*J18)</x:f>
        <x:v>177.6</x:v>
      </x:c>
      <x:c r="L18" s="61"/>
      <x:c r="M18" s="11" t="n">
        <x:f aca="0"/>
        <x:v>284</x:v>
      </x:c>
      <x:c r="N18" s="11" t="n">
        <x:f aca="0"/>
        <x:v>364</x:v>
      </x:c>
      <x:c r="O18" s="11" t="n">
        <x:f aca="0"/>
        <x:v>2</x:v>
      </x:c>
      <x:c r="P18" s="11"/>
      <x:c r="Q18" s="11" t="str">
        <x:f aca="0">A18</x:f>
        <x:v>中立板</x:v>
      </x:c>
      <x:c r="R18" s="1" t="n">
        <x:f aca="0"/>
        <x:v>568</x:v>
      </x:c>
      <x:c r="S18"/>
      <x:c r="T18"/>
    </x:row>
    <x:row r="19" ht="16" hidden="0" customHeight="1">
      <x:c r="A19" s="10" t="str">
        <x:v>固格板</x:v>
      </x:c>
      <x:c r="B19" s="10" t="n">
        <x:v>346</x:v>
      </x:c>
      <x:c r="C19" s="10" t="n">
        <x:v>464</x:v>
      </x:c>
      <x:c r="D19" s="10" t="n">
        <x:v>18</x:v>
      </x:c>
      <x:c r="E19" s="10"/>
      <x:c r="F19" s="10" t="n">
        <x:v>1</x:v>
      </x:c>
      <x:c r="G19" s="10"/>
      <x:c r="H19" s="10" t="n">
        <x:v>69</x:v>
      </x:c>
      <x:c r="I19" s="11" t="n">
        <x:f aca="0">ROUND((IF((B19*C19)/90000&lt;1,1))+IF((B19*C19)/90000&gt;=1,(B19*C19)/90000),1.1)</x:f>
        <x:v>1.8</x:v>
      </x:c>
      <x:c r="J19" s="11" t="n">
        <x:f aca="0">SUM(F19*I19)</x:f>
        <x:v>1.8</x:v>
      </x:c>
      <x:c r="K19" s="11" t="n">
        <x:f aca="0">SUM(H19*J19)</x:f>
        <x:v>124.2</x:v>
      </x:c>
      <x:c r="L19" s="61" t="str">
        <x:v>前縮19MM</x:v>
      </x:c>
      <x:c r="M19" s="11" t="n">
        <x:f aca="0"/>
        <x:v>464</x:v>
      </x:c>
      <x:c r="N19" s="11" t="n">
        <x:f aca="0"/>
        <x:v>345</x:v>
      </x:c>
      <x:c r="O19" s="11" t="n">
        <x:f aca="0"/>
        <x:v>1</x:v>
      </x:c>
      <x:c r="P19" s="11"/>
      <x:c r="Q19" s="11" t="str">
        <x:f aca="0">A19</x:f>
        <x:v>固格板</x:v>
      </x:c>
      <x:c r="R19" s="1" t="n">
        <x:f aca="0"/>
        <x:v>464</x:v>
      </x:c>
      <x:c r="S19"/>
      <x:c r="T19"/>
    </x:row>
    <x:row r="20" ht="16" hidden="0" customHeight="1">
      <x:c r="A20" s="10" t="str">
        <x:v>固格板</x:v>
      </x:c>
      <x:c r="B20" s="10" t="n">
        <x:v>346</x:v>
      </x:c>
      <x:c r="C20" s="10" t="n">
        <x:v>764</x:v>
      </x:c>
      <x:c r="D20" s="10" t="n">
        <x:v>18</x:v>
      </x:c>
      <x:c r="E20" s="10"/>
      <x:c r="F20" s="10" t="n">
        <x:v>1</x:v>
      </x:c>
      <x:c r="G20" s="10"/>
      <x:c r="H20" s="10" t="n">
        <x:v>69</x:v>
      </x:c>
      <x:c r="I20" s="11" t="n">
        <x:f aca="0">ROUND((IF((B20*C20)/90000&lt;1,1))+IF((B20*C20)/90000&gt;=1,(B20*C20)/90000),1.1)</x:f>
        <x:v>2.9</x:v>
      </x:c>
      <x:c r="J20" s="11" t="n">
        <x:f aca="0">SUM(F20*I20)</x:f>
        <x:v>2.9</x:v>
      </x:c>
      <x:c r="K20" s="11" t="n">
        <x:f aca="0">SUM(H20*J20)</x:f>
        <x:v>200.1</x:v>
      </x:c>
      <x:c r="L20" s="61" t="str">
        <x:v>前縮19MM</x:v>
      </x:c>
      <x:c r="M20" s="11" t="n">
        <x:f aca="0"/>
        <x:v>764</x:v>
      </x:c>
      <x:c r="N20" s="11" t="n">
        <x:f aca="0"/>
        <x:v>345</x:v>
      </x:c>
      <x:c r="O20" s="11" t="n">
        <x:f aca="0"/>
        <x:v>1</x:v>
      </x:c>
      <x:c r="P20" s="11"/>
      <x:c r="Q20" s="11" t="str">
        <x:f aca="0">A20</x:f>
        <x:v>固格板</x:v>
      </x:c>
      <x:c r="R20" s="1" t="n">
        <x:f aca="0"/>
        <x:v>764</x:v>
      </x:c>
      <x:c r="S20"/>
      <x:c r="T20"/>
    </x:row>
    <x:row r="21" ht="16" hidden="0" customHeight="1">
      <x:c r="A21" s="10" t="str">
        <x:v>固格板</x:v>
      </x:c>
      <x:c r="B21" s="10" t="n">
        <x:v>365</x:v>
      </x:c>
      <x:c r="C21" s="10" t="n">
        <x:v>364</x:v>
      </x:c>
      <x:c r="D21" s="10" t="n">
        <x:v>18</x:v>
      </x:c>
      <x:c r="E21" s="10"/>
      <x:c r="F21" s="10" t="n">
        <x:v>1</x:v>
      </x:c>
      <x:c r="G21" s="10"/>
      <x:c r="H21" s="10" t="n">
        <x:v>69</x:v>
      </x:c>
      <x:c r="I21" s="11" t="n">
        <x:f aca="0">ROUND((IF((B21*C21)/90000&lt;1,1))+IF((B21*C21)/90000&gt;=1,(B21*C21)/90000),1.1)</x:f>
        <x:v>1.5</x:v>
      </x:c>
      <x:c r="J21" s="11" t="n">
        <x:f aca="0">SUM(F21*I21)</x:f>
        <x:v>1.5</x:v>
      </x:c>
      <x:c r="K21" s="11" t="n">
        <x:f aca="0">SUM(H21*J21)</x:f>
        <x:v>103.5</x:v>
      </x:c>
      <x:c r="L21" s="61"/>
      <x:c r="M21" s="11" t="n">
        <x:f aca="0"/>
        <x:v>364</x:v>
      </x:c>
      <x:c r="N21" s="11" t="n">
        <x:f aca="0"/>
        <x:v>364</x:v>
      </x:c>
      <x:c r="O21" s="11" t="n">
        <x:f aca="0"/>
        <x:v>1</x:v>
      </x:c>
      <x:c r="P21" s="11"/>
      <x:c r="Q21" s="11" t="str">
        <x:f aca="0">A21</x:f>
        <x:v>固格板</x:v>
      </x:c>
      <x:c r="R21" s="1" t="n">
        <x:f aca="0"/>
        <x:v>364</x:v>
      </x:c>
      <x:c r="S21"/>
      <x:c r="T21"/>
    </x:row>
    <x:row r="22" ht="16" hidden="0" customHeight="1">
      <x:c r="A22" s="10" t="str">
        <x:v>固格板</x:v>
      </x:c>
      <x:c r="B22" s="10" t="n">
        <x:v>365</x:v>
      </x:c>
      <x:c r="C22" s="10" t="n">
        <x:v>764</x:v>
      </x:c>
      <x:c r="D22" s="10" t="n">
        <x:v>18</x:v>
      </x:c>
      <x:c r="E22" s="10"/>
      <x:c r="F22" s="10" t="n">
        <x:v>2</x:v>
      </x:c>
      <x:c r="G22" s="10"/>
      <x:c r="H22" s="10" t="n">
        <x:v>69</x:v>
      </x:c>
      <x:c r="I22" s="11" t="n">
        <x:f aca="0">ROUND((IF((B22*C22)/90000&lt;1,1))+IF((B22*C22)/90000&gt;=1,(B22*C22)/90000),1.1)</x:f>
        <x:v>3.1</x:v>
      </x:c>
      <x:c r="J22" s="11" t="n">
        <x:f aca="0">SUM(F22*I22)</x:f>
        <x:v>6.2</x:v>
      </x:c>
      <x:c r="K22" s="11" t="n">
        <x:f aca="0">SUM(H22*J22)</x:f>
        <x:v>427.8</x:v>
      </x:c>
      <x:c r="L22" s="61"/>
      <x:c r="M22" s="11" t="n">
        <x:f aca="0"/>
        <x:v>764</x:v>
      </x:c>
      <x:c r="N22" s="11" t="n">
        <x:f aca="0"/>
        <x:v>364</x:v>
      </x:c>
      <x:c r="O22" s="11" t="n">
        <x:f aca="0"/>
        <x:v>2</x:v>
      </x:c>
      <x:c r="P22" s="11"/>
      <x:c r="Q22" s="11" t="str">
        <x:f aca="0">A22</x:f>
        <x:v>固格板</x:v>
      </x:c>
      <x:c r="R22" s="1" t="n">
        <x:f aca="0"/>
        <x:v>1528</x:v>
      </x:c>
      <x:c r="S22"/>
      <x:c r="T22"/>
    </x:row>
    <x:row r="23" ht="16" hidden="0" customHeight="1">
      <x:c r="A23" s="10" t="str">
        <x:v>活格板</x:v>
      </x:c>
      <x:c r="B23" s="10" t="n">
        <x:v>340</x:v>
      </x:c>
      <x:c r="C23" s="10" t="n">
        <x:v>763</x:v>
      </x:c>
      <x:c r="D23" s="10" t="n">
        <x:v>18</x:v>
      </x:c>
      <x:c r="E23" s="10"/>
      <x:c r="F23" s="10" t="n">
        <x:v>4</x:v>
      </x:c>
      <x:c r="G23" s="10"/>
      <x:c r="H23" s="10" t="n">
        <x:v>69</x:v>
      </x:c>
      <x:c r="I23" s="11" t="n">
        <x:f aca="0">ROUND((IF((B23*C23)/90000&lt;1,1))+IF((B23*C23)/90000&gt;=1,(B23*C23)/90000),1.1)</x:f>
        <x:v>2.9</x:v>
      </x:c>
      <x:c r="J23" s="11" t="n">
        <x:f aca="0">SUM(F23*I23)</x:f>
        <x:v>11.6</x:v>
      </x:c>
      <x:c r="K23" s="11" t="n">
        <x:f aca="0">SUM(H23*J23)</x:f>
        <x:v>800.4</x:v>
      </x:c>
      <x:c r="L23" s="61"/>
      <x:c r="M23" s="11" t="n">
        <x:f aca="0"/>
        <x:v>762</x:v>
      </x:c>
      <x:c r="N23" s="11" t="n">
        <x:f aca="0"/>
        <x:v>339</x:v>
      </x:c>
      <x:c r="O23" s="11" t="n">
        <x:f aca="0"/>
        <x:v>4</x:v>
      </x:c>
      <x:c r="P23" s="11"/>
      <x:c r="Q23" s="11" t="str">
        <x:f aca="0">A23</x:f>
        <x:v>活格板</x:v>
      </x:c>
      <x:c r="R23" s="1" t="n">
        <x:f aca="0"/>
        <x:v>8824</x:v>
      </x:c>
      <x:c r="S23"/>
      <x:c r="T23"/>
    </x:row>
    <x:row r="24" ht="16" hidden="0" customHeight="1">
      <x:c r="A24" s="10" t="str">
        <x:v>活格板</x:v>
      </x:c>
      <x:c r="B24" s="10" t="n">
        <x:v>354</x:v>
      </x:c>
      <x:c r="C24" s="10" t="n">
        <x:v>363</x:v>
      </x:c>
      <x:c r="D24" s="10" t="n">
        <x:v>18</x:v>
      </x:c>
      <x:c r="E24" s="10"/>
      <x:c r="F24" s="10" t="n">
        <x:v>4</x:v>
      </x:c>
      <x:c r="G24" s="10"/>
      <x:c r="H24" s="10" t="n">
        <x:v>69</x:v>
      </x:c>
      <x:c r="I24" s="11" t="n">
        <x:f aca="0">ROUND((IF((B24*C24)/90000&lt;1,1))+IF((B24*C24)/90000&gt;=1,(B24*C24)/90000),1.1)</x:f>
        <x:v>1.4</x:v>
      </x:c>
      <x:c r="J24" s="11" t="n">
        <x:f aca="0">SUM(F24*I24)</x:f>
        <x:v>5.6</x:v>
      </x:c>
      <x:c r="K24" s="11" t="n">
        <x:f aca="0">SUM(H24*J24)</x:f>
        <x:v>386.4</x:v>
      </x:c>
      <x:c r="L24" s="61"/>
      <x:c r="M24" s="11" t="n">
        <x:f aca="0"/>
        <x:v>362</x:v>
      </x:c>
      <x:c r="N24" s="11" t="n">
        <x:f aca="0"/>
        <x:v>353</x:v>
      </x:c>
      <x:c r="O24" s="11" t="n">
        <x:f aca="0"/>
        <x:v>4</x:v>
      </x:c>
      <x:c r="P24" s="11"/>
      <x:c r="Q24" s="11" t="str">
        <x:f aca="0">A24</x:f>
        <x:v>活格板</x:v>
      </x:c>
      <x:c r="R24" s="1" t="n">
        <x:f aca="0"/>
        <x:v>5736</x:v>
      </x:c>
      <x:c r="S24"/>
      <x:c r="T24"/>
    </x:row>
    <x:row r="25" ht="16" hidden="0" customHeight="1">
      <x:c r="A25" s="10" t="str">
        <x:v>活格板</x:v>
      </x:c>
      <x:c r="B25" s="10" t="n">
        <x:v>354</x:v>
      </x:c>
      <x:c r="C25" s="10" t="n">
        <x:v>463</x:v>
      </x:c>
      <x:c r="D25" s="10" t="n">
        <x:v>18</x:v>
      </x:c>
      <x:c r="E25" s="10"/>
      <x:c r="F25" s="10" t="n">
        <x:v>3</x:v>
      </x:c>
      <x:c r="G25" s="10"/>
      <x:c r="H25" s="10" t="n">
        <x:v>69</x:v>
      </x:c>
      <x:c r="I25" s="11" t="n">
        <x:f aca="0">ROUND((IF((B25*C25)/90000&lt;1,1))+IF((B25*C25)/90000&gt;=1,(B25*C25)/90000),1.1)</x:f>
        <x:v>1.8</x:v>
      </x:c>
      <x:c r="J25" s="11" t="n">
        <x:f aca="0">SUM(F25*I25)</x:f>
        <x:v>5.4</x:v>
      </x:c>
      <x:c r="K25" s="11" t="n">
        <x:f aca="0">SUM(H25*J25)</x:f>
        <x:v>372.6</x:v>
      </x:c>
      <x:c r="L25" s="61"/>
      <x:c r="M25" s="11" t="n">
        <x:f aca="0"/>
        <x:v>462</x:v>
      </x:c>
      <x:c r="N25" s="11" t="n">
        <x:f aca="0"/>
        <x:v>353</x:v>
      </x:c>
      <x:c r="O25" s="11" t="n">
        <x:f aca="0"/>
        <x:v>3</x:v>
      </x:c>
      <x:c r="P25" s="11"/>
      <x:c r="Q25" s="11" t="str">
        <x:f aca="0">A25</x:f>
        <x:v>活格板</x:v>
      </x:c>
      <x:c r="R25" s="1" t="n">
        <x:f aca="0"/>
        <x:v>4902</x:v>
      </x:c>
      <x:c r="S25"/>
      <x:c r="T25"/>
    </x:row>
    <x:row r="26" ht="16" hidden="0" customHeight="1">
      <x:c r="A26" s="10" t="str">
        <x:v>活格板</x:v>
      </x:c>
      <x:c r="B26" s="10" t="n">
        <x:v>354</x:v>
      </x:c>
      <x:c r="C26" s="10" t="n">
        <x:v>763</x:v>
      </x:c>
      <x:c r="D26" s="10" t="n">
        <x:v>18</x:v>
      </x:c>
      <x:c r="E26" s="10"/>
      <x:c r="F26" s="10" t="n">
        <x:v>9</x:v>
      </x:c>
      <x:c r="G26" s="10"/>
      <x:c r="H26" s="10" t="n">
        <x:v>69</x:v>
      </x:c>
      <x:c r="I26" s="11" t="n">
        <x:f aca="0">ROUND((IF((B26*C26)/90000&lt;1,1))+IF((B26*C26)/90000&gt;=1,(B26*C26)/90000),1.1)</x:f>
        <x:v>3</x:v>
      </x:c>
      <x:c r="J26" s="11" t="n">
        <x:f aca="0">SUM(F26*I26)</x:f>
        <x:v>27</x:v>
      </x:c>
      <x:c r="K26" s="11" t="n">
        <x:f aca="0">SUM(H26*J26)</x:f>
        <x:v>1863</x:v>
      </x:c>
      <x:c r="L26" s="61"/>
      <x:c r="M26" s="11" t="n">
        <x:f aca="0"/>
        <x:v>762</x:v>
      </x:c>
      <x:c r="N26" s="11" t="n">
        <x:f aca="0"/>
        <x:v>353</x:v>
      </x:c>
      <x:c r="O26" s="11" t="n">
        <x:f aca="0"/>
        <x:v>9</x:v>
      </x:c>
      <x:c r="P26" s="11"/>
      <x:c r="Q26" s="11" t="str">
        <x:f aca="0">A26</x:f>
        <x:v>活格板</x:v>
      </x:c>
      <x:c r="R26" t="n">
        <x:v>20106</x:v>
      </x:c>
      <x:c r="S26"/>
      <x:c r="T26"/>
    </x:row>
    <x:row r="27" ht="16" hidden="0" customHeight="1">
      <x:c r="A27" s="10" t="str">
        <x:v>前抽牆</x:v>
      </x:c>
      <x:c r="B27" s="10" t="n">
        <x:v>100</x:v>
      </x:c>
      <x:c r="C27" s="10" t="n">
        <x:v>310</x:v>
      </x:c>
      <x:c r="D27" s="10" t="n">
        <x:v>18</x:v>
      </x:c>
      <x:c r="E27" s="10"/>
      <x:c r="F27" s="10" t="n">
        <x:v>4</x:v>
      </x:c>
      <x:c r="G27" s="10"/>
      <x:c r="H27" s="10" t="n">
        <x:v>69</x:v>
      </x:c>
      <x:c r="I27" s="11" t="n">
        <x:f aca="0">ROUND((IF((B27*C27)/90000&lt;1,1))+IF((B27*C27)/90000&gt;=1,(B27*C27)/90000),1.1)</x:f>
        <x:v>1</x:v>
      </x:c>
      <x:c r="J27" s="11" t="n">
        <x:f aca="0">SUM(F27*I27)</x:f>
        <x:v>4</x:v>
      </x:c>
      <x:c r="K27" s="11" t="n">
        <x:f aca="0">SUM(H27*J27)</x:f>
        <x:v>276</x:v>
      </x:c>
      <x:c r="L27" s="61" t="str">
        <x:v>中立中心扣90</x:v>
      </x:c>
      <x:c r="M27" s="11" t="n">
        <x:f aca="0"/>
        <x:v>310</x:v>
      </x:c>
      <x:c r="N27" s="11" t="n">
        <x:f aca="0"/>
        <x:v>99</x:v>
      </x:c>
      <x:c r="O27" s="11" t="n">
        <x:f aca="0"/>
        <x:v>4</x:v>
      </x:c>
      <x:c r="P27" s="11"/>
      <x:c r="Q27" s="11" t="str">
        <x:f aca="0">A27</x:f>
        <x:v>前抽牆</x:v>
      </x:c>
      <x:c r="R27" t="n">
        <x:v>2480</x:v>
      </x:c>
      <x:c r="S27"/>
      <x:c r="T27"/>
    </x:row>
    <x:row r="28" ht="16" hidden="0" customHeight="1">
      <x:c r="A28" s="12" t="str">
        <x:v>前抽牆</x:v>
      </x:c>
      <x:c r="B28" s="10" t="n">
        <x:v>200</x:v>
      </x:c>
      <x:c r="C28" s="10" t="n">
        <x:v>401</x:v>
      </x:c>
      <x:c r="D28" s="10" t="n">
        <x:v>18</x:v>
      </x:c>
      <x:c r="E28" s="10"/>
      <x:c r="F28" s="10" t="n">
        <x:v>2</x:v>
      </x:c>
      <x:c r="G28" s="10"/>
      <x:c r="H28" s="10" t="n">
        <x:v>69</x:v>
      </x:c>
      <x:c r="I28" s="11" t="n">
        <x:f aca="0">ROUND((IF((B28*C28)/90000&lt;1,1))+IF((B28*C28)/90000&gt;=1,(B28*C28)/90000),1.1)</x:f>
        <x:v>1</x:v>
      </x:c>
      <x:c r="J28" s="11" t="n">
        <x:f aca="0">SUM(F28*I28)</x:f>
        <x:v>2</x:v>
      </x:c>
      <x:c r="K28" s="11" t="n">
        <x:f aca="0">SUM(H28*J28)</x:f>
        <x:v>138</x:v>
      </x:c>
      <x:c r="L28" s="61"/>
      <x:c r="M28" s="11" t="n">
        <x:f aca="0"/>
        <x:v>401</x:v>
      </x:c>
      <x:c r="N28" s="11" t="n">
        <x:f aca="0"/>
        <x:v>199</x:v>
      </x:c>
      <x:c r="O28" s="11" t="n">
        <x:f aca="0"/>
        <x:v>2</x:v>
      </x:c>
      <x:c r="P28" s="11"/>
      <x:c r="Q28" s="11" t="str">
        <x:f aca="0">A28</x:f>
        <x:v>前抽牆</x:v>
      </x:c>
      <x:c r="R28" t="n">
        <x:v>1604</x:v>
      </x:c>
      <x:c r="S28" s="1">
        <x:f aca="0"/>
      </x:c>
      <x:c r="T28"/>
    </x:row>
    <x:row r="29" ht="16" hidden="0" customHeight="1">
      <x:c r="A29" s="12" t="str">
        <x:v>前抽牆</x:v>
      </x:c>
      <x:c r="B29" s="10" t="n">
        <x:v>200</x:v>
      </x:c>
      <x:c r="C29" s="10" t="n">
        <x:v>560</x:v>
      </x:c>
      <x:c r="D29" s="10" t="n">
        <x:v>18</x:v>
      </x:c>
      <x:c r="E29" s="10"/>
      <x:c r="F29" s="10" t="n">
        <x:v>8</x:v>
      </x:c>
      <x:c r="G29" s="10"/>
      <x:c r="H29" s="10" t="n">
        <x:v>69</x:v>
      </x:c>
      <x:c r="I29" s="11" t="n">
        <x:f aca="0">ROUND((IF((B29*C29)/90000&lt;1,1))+IF((B29*C29)/90000&gt;=1,(B29*C29)/90000),1.1)</x:f>
        <x:v>1.2</x:v>
      </x:c>
      <x:c r="J29" s="11" t="n">
        <x:f aca="0">SUM(F29*I29)</x:f>
        <x:v>9.6</x:v>
      </x:c>
      <x:c r="K29" s="11" t="n">
        <x:f aca="0">SUM(H29*J29)</x:f>
        <x:v>662.4</x:v>
      </x:c>
      <x:c r="L29" s="61" t="str">
        <x:v>中立中心扣90</x:v>
      </x:c>
      <x:c r="M29" s="11" t="n">
        <x:f aca="0"/>
        <x:v>560</x:v>
      </x:c>
      <x:c r="N29" s="11" t="n">
        <x:f aca="0"/>
        <x:v>199</x:v>
      </x:c>
      <x:c r="O29" s="11" t="n">
        <x:f aca="0"/>
        <x:v>8</x:v>
      </x:c>
      <x:c r="P29" s="11"/>
      <x:c r="Q29" s="11" t="str">
        <x:f aca="0">A29</x:f>
        <x:v>前抽牆</x:v>
      </x:c>
      <x:c r="R29" t="n">
        <x:v>8960</x:v>
      </x:c>
      <x:c r="S29" s="1">
        <x:f aca="0"/>
      </x:c>
      <x:c r="T29"/>
    </x:row>
    <x:row r="30" ht="16" hidden="0" customHeight="1">
      <x:c r="A30" s="12" t="str">
        <x:v>邊抽牆</x:v>
      </x:c>
      <x:c r="B30" s="10" t="n">
        <x:v>100</x:v>
      </x:c>
      <x:c r="C30" s="10" t="n">
        <x:v>350</x:v>
      </x:c>
      <x:c r="D30" s="10" t="n">
        <x:v>18</x:v>
      </x:c>
      <x:c r="E30" s="10"/>
      <x:c r="F30" s="10" t="n">
        <x:v>4</x:v>
      </x:c>
      <x:c r="G30" s="10"/>
      <x:c r="H30" s="10" t="n">
        <x:v>69</x:v>
      </x:c>
      <x:c r="I30" s="11" t="n">
        <x:f aca="0">ROUND((IF((B30*C30)/90000&lt;1,1))+IF((B30*C30)/90000&gt;=1,(B30*C30)/90000),1.1)</x:f>
        <x:v>1</x:v>
      </x:c>
      <x:c r="J30" s="11" t="n">
        <x:f aca="0">SUM(F30*I30)</x:f>
        <x:v>4</x:v>
      </x:c>
      <x:c r="K30" s="11" t="n">
        <x:f aca="0">SUM(H30*J30)</x:f>
        <x:v>276</x:v>
      </x:c>
      <x:c r="L30" s="61"/>
      <x:c r="M30" s="11" t="n">
        <x:f aca="0"/>
        <x:v>350</x:v>
      </x:c>
      <x:c r="N30" s="11" t="n">
        <x:f aca="0"/>
        <x:v>99</x:v>
      </x:c>
      <x:c r="O30" s="11" t="n">
        <x:f aca="0"/>
        <x:v>4</x:v>
      </x:c>
      <x:c r="P30" s="11"/>
      <x:c r="Q30" s="11" t="str">
        <x:f aca="0">A30</x:f>
        <x:v>邊抽牆</x:v>
      </x:c>
      <x:c r="R30" t="n">
        <x:v>2800</x:v>
      </x:c>
      <x:c r="S30" s="1">
        <x:f aca="0"/>
      </x:c>
      <x:c r="T30"/>
    </x:row>
    <x:row r="31" ht="16" hidden="0" customHeight="1">
      <x:c r="A31" s="10" t="str">
        <x:v>邊抽牆</x:v>
      </x:c>
      <x:c r="B31" s="10" t="n">
        <x:v>200</x:v>
      </x:c>
      <x:c r="C31" s="10" t="n">
        <x:v>350</x:v>
      </x:c>
      <x:c r="D31" s="10" t="n">
        <x:v>18</x:v>
      </x:c>
      <x:c r="E31" s="10"/>
      <x:c r="F31" s="10" t="n">
        <x:v>10</x:v>
      </x:c>
      <x:c r="G31" s="10"/>
      <x:c r="H31" s="10" t="n">
        <x:v>69</x:v>
      </x:c>
      <x:c r="I31" s="11" t="n">
        <x:f aca="0">ROUND((IF((B31*C31)/90000&lt;1,1))+IF((B31*C31)/90000&gt;=1,(B31*C31)/90000),1.1)</x:f>
        <x:v>1</x:v>
      </x:c>
      <x:c r="J31" s="11" t="n">
        <x:f aca="0">SUM(F31*I31)</x:f>
        <x:v>10</x:v>
      </x:c>
      <x:c r="K31" s="11" t="n">
        <x:f aca="0">SUM(H31*J31)</x:f>
        <x:v>690</x:v>
      </x:c>
      <x:c r="L31" s="61"/>
      <x:c r="M31" s="11" t="n">
        <x:f aca="0"/>
        <x:v>350</x:v>
      </x:c>
      <x:c r="N31" s="11" t="n">
        <x:f aca="0"/>
        <x:v>199</x:v>
      </x:c>
      <x:c r="O31" s="11" t="n">
        <x:f aca="0"/>
        <x:v>10</x:v>
      </x:c>
      <x:c r="P31" s="11"/>
      <x:c r="Q31" s="11" t="str">
        <x:f aca="0">A31</x:f>
        <x:v>邊抽牆</x:v>
      </x:c>
      <x:c r="R31" t="n">
        <x:v>7000</x:v>
      </x:c>
      <x:c r="S31" s="1">
        <x:f aca="0"/>
      </x:c>
      <x:c r="T31"/>
    </x:row>
    <x:row r="32" ht="16" hidden="0" customHeight="1">
      <x:c r="A32" s="10" t="str">
        <x:v>抽底板</x:v>
      </x:c>
      <x:c r="B32" s="10" t="n">
        <x:v>320</x:v>
      </x:c>
      <x:c r="C32" s="10" t="n">
        <x:v>324</x:v>
      </x:c>
      <x:c r="D32" s="10" t="n">
        <x:v>8</x:v>
      </x:c>
      <x:c r="E32" s="10"/>
      <x:c r="F32" s="10" t="n">
        <x:v>2</x:v>
      </x:c>
      <x:c r="G32" s="10"/>
      <x:c r="H32" s="10" t="n">
        <x:v>50</x:v>
      </x:c>
      <x:c r="I32" s="11" t="n">
        <x:f aca="0">ROUND((IF((B32*C32)/90000&lt;1,1))+IF((B32*C32)/90000&gt;=1,(B32*C32)/90000),1.1)</x:f>
        <x:v>1.2</x:v>
      </x:c>
      <x:c r="J32" s="11" t="n">
        <x:f aca="0">SUM(F32*I32)</x:f>
        <x:v>2.4</x:v>
      </x:c>
      <x:c r="K32" s="11" t="n">
        <x:f aca="0">SUM(H32*J32)</x:f>
        <x:v>120</x:v>
      </x:c>
      <x:c r="L32" s="61"/>
      <x:c r="M32" s="11" t="n">
        <x:f aca="0"/>
        <x:v>324</x:v>
      </x:c>
      <x:c r="N32" s="11" t="n">
        <x:f aca="0"/>
        <x:v>320</x:v>
      </x:c>
      <x:c r="O32" s="11" t="n">
        <x:f aca="0"/>
        <x:v>2</x:v>
      </x:c>
      <x:c r="P32" s="11"/>
      <x:c r="Q32" s="11" t="str">
        <x:f aca="0">A32</x:f>
        <x:v>抽底板</x:v>
      </x:c>
      <x:c r="R32"/>
      <x:c r="S32" s="1">
        <x:f aca="0"/>
      </x:c>
      <x:c r="T32"/>
    </x:row>
    <x:row r="33" ht="16" hidden="0" customHeight="1">
      <x:c r="A33" s="10" t="str">
        <x:v>抽底板</x:v>
      </x:c>
      <x:c r="B33" s="10" t="n">
        <x:v>411</x:v>
      </x:c>
      <x:c r="C33" s="10" t="n">
        <x:v>324</x:v>
      </x:c>
      <x:c r="D33" s="10" t="n">
        <x:v>8</x:v>
      </x:c>
      <x:c r="E33" s="10"/>
      <x:c r="F33" s="10" t="n">
        <x:v>1</x:v>
      </x:c>
      <x:c r="G33" s="10"/>
      <x:c r="H33" s="10" t="n">
        <x:v>50</x:v>
      </x:c>
      <x:c r="I33" s="11" t="n">
        <x:f aca="0">ROUND((IF((B33*C33)/90000&lt;1,1))+IF((B33*C33)/90000&gt;=1,(B33*C33)/90000),1.1)</x:f>
        <x:v>1.5</x:v>
      </x:c>
      <x:c r="J33" s="11" t="n">
        <x:f aca="0">SUM(F33*I33)</x:f>
        <x:v>1.5</x:v>
      </x:c>
      <x:c r="K33" s="11" t="n">
        <x:f aca="0">SUM(H33*J33)</x:f>
        <x:v>75</x:v>
      </x:c>
      <x:c r="L33" s="61"/>
      <x:c r="M33" s="11" t="n">
        <x:f aca="0"/>
        <x:v>324</x:v>
      </x:c>
      <x:c r="N33" s="11" t="n">
        <x:f aca="0"/>
        <x:v>411</x:v>
      </x:c>
      <x:c r="O33" s="11" t="n">
        <x:f aca="0"/>
        <x:v>1</x:v>
      </x:c>
      <x:c r="P33" s="11"/>
      <x:c r="Q33" s="11" t="str">
        <x:f aca="0">A33</x:f>
        <x:v>抽底板</x:v>
      </x:c>
      <x:c r="R33" s="1">
        <x:f aca="0"/>
      </x:c>
      <x:c r="S33"/>
      <x:c r="T33"/>
    </x:row>
    <x:row r="34" ht="16" hidden="0" customHeight="1">
      <x:c r="A34" s="10" t="str">
        <x:v>抽底板</x:v>
      </x:c>
      <x:c r="B34" s="10" t="n">
        <x:v>570</x:v>
      </x:c>
      <x:c r="C34" s="10" t="n">
        <x:v>324</x:v>
      </x:c>
      <x:c r="D34" s="10" t="n">
        <x:v>8</x:v>
      </x:c>
      <x:c r="E34" s="10"/>
      <x:c r="F34" s="10" t="n">
        <x:v>4</x:v>
      </x:c>
      <x:c r="G34" s="10"/>
      <x:c r="H34" s="10" t="n">
        <x:v>50</x:v>
      </x:c>
      <x:c r="I34" s="11" t="n">
        <x:f aca="0">ROUND((IF((B34*C34)/90000&lt;1,1))+IF((B34*C34)/90000&gt;=1,(B34*C34)/90000),1.1)</x:f>
        <x:v>2.1</x:v>
      </x:c>
      <x:c r="J34" s="11" t="n">
        <x:f aca="0">SUM(F34*I34)</x:f>
        <x:v>8.4</x:v>
      </x:c>
      <x:c r="K34" s="11" t="n">
        <x:f aca="0">SUM(H34*J34)</x:f>
        <x:v>420</x:v>
      </x:c>
      <x:c r="L34" s="61"/>
      <x:c r="M34" s="11" t="n">
        <x:f aca="0"/>
        <x:v>324</x:v>
      </x:c>
      <x:c r="N34" s="11" t="n">
        <x:f aca="0"/>
        <x:v>570</x:v>
      </x:c>
      <x:c r="O34" s="11" t="n">
        <x:f aca="0"/>
        <x:v>4</x:v>
      </x:c>
      <x:c r="P34" s="11"/>
      <x:c r="Q34" s="11" t="str">
        <x:f aca="0">A34</x:f>
        <x:v>抽底板</x:v>
      </x:c>
      <x:c r="R34" s="1">
        <x:f aca="0"/>
      </x:c>
      <x:c r="S34" s="1">
        <x:f aca="0"/>
      </x:c>
      <x:c r="T34"/>
    </x:row>
    <x:row r="35" ht="16" hidden="0" customHeight="1">
      <x:c r="A35" s="10" t="str">
        <x:v>4E門板</x:v>
      </x:c>
      <x:c r="B35" s="10" t="n">
        <x:v>397</x:v>
      </x:c>
      <x:c r="C35" s="10" t="n">
        <x:v>512</x:v>
      </x:c>
      <x:c r="D35" s="10" t="n">
        <x:v>18</x:v>
      </x:c>
      <x:c r="E35" s="10"/>
      <x:c r="F35" s="10" t="n">
        <x:v>2</x:v>
      </x:c>
      <x:c r="G35" s="10"/>
      <x:c r="H35" s="10" t="n">
        <x:v>84</x:v>
      </x:c>
      <x:c r="I35" s="11" t="n">
        <x:f aca="0">ROUND((IF((B35*C35)/90000&lt;1,1))+IF((B35*C35)/90000&gt;=1,(B35*C35)/90000),1.1)</x:f>
        <x:v>2.3</x:v>
      </x:c>
      <x:c r="J35" s="11" t="n">
        <x:f aca="0">SUM(F35*I35)</x:f>
        <x:v>4.6</x:v>
      </x:c>
      <x:c r="K35" s="11" t="n">
        <x:f aca="0">SUM(H35*J35)</x:f>
        <x:v>386.4</x:v>
      </x:c>
      <x:c r="L35" s="61"/>
      <x:c r="M35" s="11" t="n">
        <x:f aca="0"/>
        <x:v>510</x:v>
      </x:c>
      <x:c r="N35" s="11" t="n">
        <x:f aca="0"/>
        <x:v>395</x:v>
      </x:c>
      <x:c r="O35" s="11" t="n">
        <x:f aca="0"/>
        <x:v>2</x:v>
      </x:c>
      <x:c r="P35" s="11"/>
      <x:c r="Q35" s="11" t="str">
        <x:f aca="0">A35</x:f>
        <x:v>4E門板</x:v>
      </x:c>
      <x:c r="R35" s="1">
        <x:f aca="0"/>
      </x:c>
      <x:c r="S35" s="1" t="n">
        <x:f aca="0"/>
        <x:v>3636</x:v>
      </x:c>
      <x:c r="T35"/>
    </x:row>
    <x:row r="36" ht="16" hidden="0" customHeight="1">
      <x:c r="A36" s="10" t="str">
        <x:v>4E門板</x:v>
      </x:c>
      <x:c r="B36" s="10" t="n">
        <x:v>397</x:v>
      </x:c>
      <x:c r="C36" s="10" t="n">
        <x:v>860</x:v>
      </x:c>
      <x:c r="D36" s="10" t="n">
        <x:v>18</x:v>
      </x:c>
      <x:c r="E36" s="10"/>
      <x:c r="F36" s="10" t="n">
        <x:v>2</x:v>
      </x:c>
      <x:c r="G36" s="10"/>
      <x:c r="H36" s="10" t="n">
        <x:v>84</x:v>
      </x:c>
      <x:c r="I36" s="11" t="n">
        <x:f aca="0">ROUND((IF((B36*C36)/90000&lt;1,1))+IF((B36*C36)/90000&gt;=1,(B36*C36)/90000),1.1)</x:f>
        <x:v>3.8</x:v>
      </x:c>
      <x:c r="J36" s="11" t="n">
        <x:f aca="0">SUM(F36*I36)</x:f>
        <x:v>7.6</x:v>
      </x:c>
      <x:c r="K36" s="11" t="n">
        <x:f aca="0">SUM(H36*J36)</x:f>
        <x:v>638.4</x:v>
      </x:c>
      <x:c r="L36" s="61"/>
      <x:c r="M36" s="11" t="n">
        <x:f aca="0"/>
        <x:v>858</x:v>
      </x:c>
      <x:c r="N36" s="11" t="n">
        <x:f aca="0"/>
        <x:v>395</x:v>
      </x:c>
      <x:c r="O36" s="11" t="n">
        <x:f aca="0"/>
        <x:v>2</x:v>
      </x:c>
      <x:c r="P36" s="11"/>
      <x:c r="Q36" s="11" t="str">
        <x:f aca="0">A36</x:f>
        <x:v>4E門板</x:v>
      </x:c>
      <x:c r="R36" s="1">
        <x:f aca="0"/>
      </x:c>
      <x:c r="S36" s="1" t="n">
        <x:f aca="0"/>
        <x:v>5028</x:v>
      </x:c>
      <x:c r="T36"/>
    </x:row>
    <x:row r="37" ht="16" hidden="0" customHeight="1">
      <x:c r="A37" s="10" t="str">
        <x:v>4E門板</x:v>
      </x:c>
      <x:c r="B37" s="10" t="n">
        <x:v>397</x:v>
      </x:c>
      <x:c r="C37" s="10" t="n">
        <x:v>2172</x:v>
      </x:c>
      <x:c r="D37" s="10" t="n">
        <x:v>18</x:v>
      </x:c>
      <x:c r="E37" s="10"/>
      <x:c r="F37" s="10" t="n">
        <x:v>3</x:v>
      </x:c>
      <x:c r="G37" s="10"/>
      <x:c r="H37" s="10" t="n">
        <x:v>84</x:v>
      </x:c>
      <x:c r="I37" s="11" t="n">
        <x:f aca="0">ROUND((IF((B37*C37)/90000&lt;1,1))+IF((B37*C37)/90000&gt;=1,(B37*C37)/90000),1.1)</x:f>
        <x:v>9.6</x:v>
      </x:c>
      <x:c r="J37" s="11" t="n">
        <x:f aca="0">SUM(F37*I37)</x:f>
        <x:v>28.799999999999997</x:v>
      </x:c>
      <x:c r="K37" s="11" t="n">
        <x:f aca="0">SUM(H37*J37)</x:f>
        <x:v>2419.2</x:v>
      </x:c>
      <x:c r="L37" s="61" t="str">
        <x:v>J手把2支</x:v>
      </x:c>
      <x:c r="M37" s="11" t="n">
        <x:f aca="0"/>
        <x:v>2170</x:v>
      </x:c>
      <x:c r="N37" s="11" t="n">
        <x:f aca="0"/>
        <x:v>395</x:v>
      </x:c>
      <x:c r="O37" s="11" t="n">
        <x:f aca="0"/>
        <x:v>3</x:v>
      </x:c>
      <x:c r="P37" s="11"/>
      <x:c r="Q37" s="11" t="str">
        <x:f aca="0">A37</x:f>
        <x:v>4E門板</x:v>
      </x:c>
      <x:c r="R37" s="1">
        <x:f aca="0"/>
      </x:c>
      <x:c r="S37" s="1" t="n">
        <x:f aca="0"/>
        <x:v>15414</x:v>
      </x:c>
      <x:c r="T37"/>
    </x:row>
    <x:row r="38" ht="16" hidden="0" customHeight="1">
      <x:c r="A38" s="10" t="str">
        <x:v>假門板</x:v>
      </x:c>
      <x:c r="B38" s="10" t="n">
        <x:v>120</x:v>
      </x:c>
      <x:c r="C38" s="10" t="n">
        <x:v>320</x:v>
      </x:c>
      <x:c r="D38" s="10" t="n">
        <x:v>18</x:v>
      </x:c>
      <x:c r="E38" s="10"/>
      <x:c r="F38" s="10" t="n">
        <x:v>1</x:v>
      </x:c>
      <x:c r="G38" s="10"/>
      <x:c r="H38" s="10" t="n">
        <x:v>84</x:v>
      </x:c>
      <x:c r="I38" s="11" t="n">
        <x:f aca="0">ROUND((IF((B38*C38)/90000&lt;1,1))+IF((B38*C38)/90000&gt;=1,(B38*C38)/90000),1.1)</x:f>
        <x:v>1</x:v>
      </x:c>
      <x:c r="J38" s="11" t="n">
        <x:f aca="0">SUM(F38*I38)</x:f>
        <x:v>1</x:v>
      </x:c>
      <x:c r="K38" s="11" t="n">
        <x:f aca="0">SUM(H38*J38)</x:f>
        <x:v>84</x:v>
      </x:c>
      <x:c r="L38" s="61"/>
      <x:c r="M38" s="11" t="n">
        <x:f aca="0"/>
        <x:v>318</x:v>
      </x:c>
      <x:c r="N38" s="11" t="n">
        <x:f aca="0"/>
        <x:v>118</x:v>
      </x:c>
      <x:c r="O38" s="11" t="n">
        <x:f aca="0"/>
        <x:v>1</x:v>
      </x:c>
      <x:c r="P38" s="11"/>
      <x:c r="Q38" s="11" t="str">
        <x:f aca="0">A38</x:f>
        <x:v>假門板</x:v>
      </x:c>
      <x:c r="R38" s="1">
        <x:f aca="0"/>
      </x:c>
      <x:c r="S38" t="n">
        <x:v>880</x:v>
      </x:c>
      <x:c r="T38"/>
    </x:row>
    <x:row r="39" ht="16" hidden="0" customHeight="1">
      <x:c r="A39" s="10" t="str">
        <x:v>假門板</x:v>
      </x:c>
      <x:c r="B39" s="10" t="n">
        <x:v>120</x:v>
      </x:c>
      <x:c r="C39" s="10" t="n">
        <x:v>2072</x:v>
      </x:c>
      <x:c r="D39" s="10" t="n">
        <x:v>18</x:v>
      </x:c>
      <x:c r="E39" s="10"/>
      <x:c r="F39" s="10" t="n">
        <x:v>1</x:v>
      </x:c>
      <x:c r="G39" s="10"/>
      <x:c r="H39" s="10" t="n">
        <x:v>84</x:v>
      </x:c>
      <x:c r="I39" s="11" t="n">
        <x:f aca="0">ROUND((IF((B39*C39)/90000&lt;1,1))+IF((B39*C39)/90000&gt;=1,(B39*C39)/90000),1.1)</x:f>
        <x:v>2.8</x:v>
      </x:c>
      <x:c r="J39" s="11" t="n">
        <x:f aca="0">SUM(F39*I39)</x:f>
        <x:v>2.8</x:v>
      </x:c>
      <x:c r="K39" s="11" t="n">
        <x:f aca="0">SUM(H39*J39)</x:f>
        <x:v>235.2</x:v>
      </x:c>
      <x:c r="L39" s="61"/>
      <x:c r="M39" s="11" t="n">
        <x:f aca="0"/>
        <x:v>2070</x:v>
      </x:c>
      <x:c r="N39" s="11" t="n">
        <x:f aca="0"/>
        <x:v>118</x:v>
      </x:c>
      <x:c r="O39" s="11" t="n">
        <x:f aca="0"/>
        <x:v>1</x:v>
      </x:c>
      <x:c r="P39" s="11"/>
      <x:c r="Q39" s="11" t="str">
        <x:f aca="0">A39</x:f>
        <x:v>假門板</x:v>
      </x:c>
      <x:c r="R39" s="1">
        <x:f aca="0"/>
      </x:c>
      <x:c r="S39" t="n">
        <x:v>4384</x:v>
      </x:c>
      <x:c r="T39"/>
    </x:row>
    <x:row r="40" ht="16" hidden="0" customHeight="1">
      <x:c r="A40" s="10" t="str">
        <x:v>屜頭</x:v>
      </x:c>
      <x:c r="B40" s="10" t="n">
        <x:v>397</x:v>
      </x:c>
      <x:c r="C40" s="10" t="n">
        <x:v>200</x:v>
      </x:c>
      <x:c r="D40" s="10" t="n">
        <x:v>18</x:v>
      </x:c>
      <x:c r="E40" s="10"/>
      <x:c r="F40" s="10" t="n">
        <x:v>2</x:v>
      </x:c>
      <x:c r="G40" s="10"/>
      <x:c r="H40" s="10" t="n">
        <x:v>84</x:v>
      </x:c>
      <x:c r="I40" s="11" t="n">
        <x:f aca="0">ROUND((IF((B40*C40)/90000&lt;1,1))+IF((B40*C40)/90000&gt;=1,(B40*C40)/90000),1.1)</x:f>
        <x:v>1</x:v>
      </x:c>
      <x:c r="J40" s="11" t="n">
        <x:f aca="0">SUM(F40*I40)</x:f>
        <x:v>2</x:v>
      </x:c>
      <x:c r="K40" s="11" t="n">
        <x:f aca="0">SUM(H40*J40)</x:f>
        <x:v>168</x:v>
      </x:c>
      <x:c r="L40" s="61"/>
      <x:c r="M40" s="11" t="n">
        <x:f aca="0"/>
        <x:v>198</x:v>
      </x:c>
      <x:c r="N40" s="11" t="n">
        <x:f aca="0"/>
        <x:v>395</x:v>
      </x:c>
      <x:c r="O40" s="11" t="n">
        <x:f aca="0"/>
        <x:v>2</x:v>
      </x:c>
      <x:c r="P40" s="11"/>
      <x:c r="Q40" s="11" t="str">
        <x:f aca="0">A40</x:f>
        <x:v>屜頭</x:v>
      </x:c>
      <x:c r="R40" s="1">
        <x:f aca="0"/>
      </x:c>
      <x:c r="S40" t="n">
        <x:v>2388</x:v>
      </x:c>
      <x:c r="T40"/>
    </x:row>
    <x:row r="41" ht="16" hidden="0" customHeight="1">
      <x:c r="A41" s="10" t="str">
        <x:v>屜頭</x:v>
      </x:c>
      <x:c r="B41" s="10" t="n">
        <x:v>497</x:v>
      </x:c>
      <x:c r="C41" s="10" t="n">
        <x:v>296</x:v>
      </x:c>
      <x:c r="D41" s="10" t="n">
        <x:v>18</x:v>
      </x:c>
      <x:c r="E41" s="10"/>
      <x:c r="F41" s="10" t="n">
        <x:v>1</x:v>
      </x:c>
      <x:c r="G41" s="10"/>
      <x:c r="H41" s="10" t="n">
        <x:v>84</x:v>
      </x:c>
      <x:c r="I41" s="11" t="n">
        <x:f aca="0">ROUND((IF((B41*C41)/90000&lt;1,1))+IF((B41*C41)/90000&gt;=1,(B41*C41)/90000),1.1)</x:f>
        <x:v>1.6</x:v>
      </x:c>
      <x:c r="J41" s="11" t="n">
        <x:f aca="0">SUM(F41*I41)</x:f>
        <x:v>1.6</x:v>
      </x:c>
      <x:c r="K41" s="11" t="n">
        <x:f aca="0">SUM(H41*J41)</x:f>
        <x:v>134.4</x:v>
      </x:c>
      <x:c r="L41" s="61"/>
      <x:c r="M41" s="11" t="n">
        <x:f aca="0"/>
        <x:v>294</x:v>
      </x:c>
      <x:c r="N41" s="11" t="n">
        <x:f aca="0"/>
        <x:v>495</x:v>
      </x:c>
      <x:c r="O41" s="11" t="n">
        <x:f aca="0"/>
        <x:v>1</x:v>
      </x:c>
      <x:c r="P41" s="11"/>
      <x:c r="Q41" s="11" t="str">
        <x:f aca="0">A41</x:f>
        <x:v>屜頭</x:v>
      </x:c>
      <x:c r="R41" s="1">
        <x:f aca="0"/>
      </x:c>
      <x:c r="S41" t="n">
        <x:v>1586</x:v>
      </x:c>
      <x:c r="T41"/>
    </x:row>
    <x:row r="42" ht="16" hidden="0" customHeight="1">
      <x:c r="A42" s="10" t="str">
        <x:v>屜頭</x:v>
      </x:c>
      <x:c r="B42" s="10" t="n">
        <x:v>647</x:v>
      </x:c>
      <x:c r="C42" s="10" t="n">
        <x:v>296</x:v>
      </x:c>
      <x:c r="D42" s="10" t="n">
        <x:v>18</x:v>
      </x:c>
      <x:c r="E42" s="10"/>
      <x:c r="F42" s="10" t="n">
        <x:v>4</x:v>
      </x:c>
      <x:c r="G42" s="10"/>
      <x:c r="H42" s="10" t="n">
        <x:v>84</x:v>
      </x:c>
      <x:c r="I42" s="11" t="n">
        <x:f aca="0">ROUND((IF((B42*C42)/90000&lt;1,1))+IF((B42*C42)/90000&gt;=1,(B42*C42)/90000),1.1)</x:f>
        <x:v>2.1</x:v>
      </x:c>
      <x:c r="J42" s="11" t="n">
        <x:f aca="0">SUM(F42*I42)</x:f>
        <x:v>8.4</x:v>
      </x:c>
      <x:c r="K42" s="11" t="n">
        <x:f aca="0">SUM(H42*J42)</x:f>
        <x:v>705.6</x:v>
      </x:c>
      <x:c r="L42" s="61"/>
      <x:c r="M42" s="11" t="n">
        <x:f aca="0"/>
        <x:v>294</x:v>
      </x:c>
      <x:c r="N42" s="11" t="n">
        <x:f aca="0"/>
        <x:v>645</x:v>
      </x:c>
      <x:c r="O42" s="11" t="n">
        <x:f aca="0"/>
        <x:v>4</x:v>
      </x:c>
      <x:c r="P42" s="11"/>
      <x:c r="Q42" s="11" t="str">
        <x:f aca="0">A42</x:f>
        <x:v>屜頭</x:v>
      </x:c>
      <x:c r="R42"/>
      <x:c r="S42" t="n">
        <x:v>7544</x:v>
      </x:c>
      <x:c r="T42"/>
    </x:row>
    <x:row r="43" ht="16" hidden="0" customHeight="1">
      <x:c r="A43" s="10" t="str">
        <x:v>擋板</x:v>
      </x:c>
      <x:c r="B43" s="10" t="n">
        <x:v>50</x:v>
      </x:c>
      <x:c r="C43" s="10" t="n">
        <x:v>614</x:v>
      </x:c>
      <x:c r="D43" s="10" t="n">
        <x:v>18</x:v>
      </x:c>
      <x:c r="E43" s="10"/>
      <x:c r="F43" s="10" t="n">
        <x:v>1</x:v>
      </x:c>
      <x:c r="G43" s="10"/>
      <x:c r="H43" s="10" t="n">
        <x:v>69</x:v>
      </x:c>
      <x:c r="I43" s="11" t="n">
        <x:f aca="0">ROUND((IF((B43*C43)/90000&lt;1,1))+IF((B43*C43)/90000&gt;=1,(B43*C43)/90000),1.1)</x:f>
        <x:v>1</x:v>
      </x:c>
      <x:c r="J43" s="11" t="n">
        <x:f aca="0">SUM(F43*I43)</x:f>
        <x:v>1</x:v>
      </x:c>
      <x:c r="K43" s="11" t="n">
        <x:f aca="0">SUM(H43*J43)</x:f>
        <x:v>69</x:v>
      </x:c>
      <x:c r="L43" s="61"/>
      <x:c r="M43" s="11" t="n">
        <x:f aca="0"/>
        <x:v>614</x:v>
      </x:c>
      <x:c r="N43" s="11" t="n">
        <x:f aca="0"/>
        <x:v>49</x:v>
      </x:c>
      <x:c r="O43" s="11" t="n">
        <x:f aca="0"/>
        <x:v>1</x:v>
      </x:c>
      <x:c r="P43" s="11"/>
      <x:c r="Q43" s="11" t="str">
        <x:f aca="0">A43</x:f>
        <x:v>擋板</x:v>
      </x:c>
      <x:c r="R43" t="n">
        <x:v>1228</x:v>
      </x:c>
      <x:c r="S43"/>
      <x:c r="T43"/>
    </x:row>
    <x:row r="44" ht="16" hidden="0" customHeight="1">
      <x:c r="A44" s="10" t="str">
        <x:v>擋板</x:v>
      </x:c>
      <x:c r="B44" s="10" t="n">
        <x:v>50</x:v>
      </x:c>
      <x:c r="C44" s="10" t="n">
        <x:v>1264</x:v>
      </x:c>
      <x:c r="D44" s="10" t="n">
        <x:v>18</x:v>
      </x:c>
      <x:c r="E44" s="10"/>
      <x:c r="F44" s="10" t="n">
        <x:v>2</x:v>
      </x:c>
      <x:c r="G44" s="10"/>
      <x:c r="H44" s="10" t="n">
        <x:v>69</x:v>
      </x:c>
      <x:c r="I44" s="11" t="n">
        <x:f aca="0">ROUND((IF((B44*C44)/90000&lt;1,1))+IF((B44*C44)/90000&gt;=1,(B44*C44)/90000),1.1)</x:f>
        <x:v>1</x:v>
      </x:c>
      <x:c r="J44" s="11" t="n">
        <x:f aca="0">SUM(F44*I44)</x:f>
        <x:v>2</x:v>
      </x:c>
      <x:c r="K44" s="11" t="n">
        <x:f aca="0">SUM(H44*J44)</x:f>
        <x:v>138</x:v>
      </x:c>
      <x:c r="L44" s="61"/>
      <x:c r="M44" s="11" t="n">
        <x:f aca="0"/>
        <x:v>1264</x:v>
      </x:c>
      <x:c r="N44" s="11" t="n">
        <x:f aca="0"/>
        <x:v>49</x:v>
      </x:c>
      <x:c r="O44" s="11" t="n">
        <x:f aca="0"/>
        <x:v>2</x:v>
      </x:c>
      <x:c r="P44" s="11"/>
      <x:c r="Q44" s="11" t="str">
        <x:f aca="0">A44</x:f>
        <x:v>擋板</x:v>
      </x:c>
      <x:c r="R44" t="n">
        <x:v>5056</x:v>
      </x:c>
      <x:c r="S44"/>
      <x:c r="T44"/>
    </x:row>
    <x:row r="45" ht="16" hidden="0" customHeight="1">
      <x:c r="A45" s="10" t="str">
        <x:v>擋板</x:v>
      </x:c>
      <x:c r="B45" s="10" t="n">
        <x:v>60</x:v>
      </x:c>
      <x:c r="C45" s="10" t="n">
        <x:v>464</x:v>
      </x:c>
      <x:c r="D45" s="10" t="n">
        <x:v>18</x:v>
      </x:c>
      <x:c r="E45" s="10"/>
      <x:c r="F45" s="10" t="n">
        <x:v>1</x:v>
      </x:c>
      <x:c r="G45" s="10"/>
      <x:c r="H45" s="10" t="n">
        <x:v>69</x:v>
      </x:c>
      <x:c r="I45" s="11" t="n">
        <x:f aca="0">ROUND((IF((B45*C45)/90000&lt;1,1))+IF((B45*C45)/90000&gt;=1,(B45*C45)/90000),1.1)</x:f>
        <x:v>1</x:v>
      </x:c>
      <x:c r="J45" s="11" t="n">
        <x:f aca="0">SUM(F45*I45)</x:f>
        <x:v>1</x:v>
      </x:c>
      <x:c r="K45" s="11" t="n">
        <x:f aca="0">SUM(H45*J45)</x:f>
        <x:v>69</x:v>
      </x:c>
      <x:c r="L45" s="61"/>
      <x:c r="M45" s="11" t="n">
        <x:f aca="0"/>
        <x:v>464</x:v>
      </x:c>
      <x:c r="N45" s="11" t="n">
        <x:f aca="0"/>
        <x:v>59</x:v>
      </x:c>
      <x:c r="O45" s="11" t="n">
        <x:f aca="0"/>
        <x:v>1</x:v>
      </x:c>
      <x:c r="P45" s="11"/>
      <x:c r="Q45" s="11" t="str">
        <x:f aca="0">A45</x:f>
        <x:v>擋板</x:v>
      </x:c>
      <x:c r="R45" t="n">
        <x:v>928</x:v>
      </x:c>
      <x:c r="S45"/>
      <x:c r="T45"/>
    </x:row>
    <x:row r="46" ht="16" hidden="0" customHeight="1">
      <x:c r="A46" s="10" t="str">
        <x:v>擋板</x:v>
      </x:c>
      <x:c r="B46" s="10" t="n">
        <x:v>60</x:v>
      </x:c>
      <x:c r="C46" s="10" t="n">
        <x:v>764</x:v>
      </x:c>
      <x:c r="D46" s="10" t="n">
        <x:v>18</x:v>
      </x:c>
      <x:c r="E46" s="10"/>
      <x:c r="F46" s="10" t="n">
        <x:v>2</x:v>
      </x:c>
      <x:c r="G46" s="10"/>
      <x:c r="H46" s="10" t="n">
        <x:v>69</x:v>
      </x:c>
      <x:c r="I46" s="11" t="n">
        <x:f aca="0">ROUND((IF((B46*C46)/90000&lt;1,1))+IF((B46*C46)/90000&gt;=1,(B46*C46)/90000),1.1)</x:f>
        <x:v>1</x:v>
      </x:c>
      <x:c r="J46" s="11" t="n">
        <x:f aca="0">SUM(F46*I46)</x:f>
        <x:v>2</x:v>
      </x:c>
      <x:c r="K46" s="11" t="n">
        <x:f aca="0">SUM(H46*J46)</x:f>
        <x:v>138</x:v>
      </x:c>
      <x:c r="L46" s="61"/>
      <x:c r="M46" s="11" t="n">
        <x:f aca="0"/>
        <x:v>764</x:v>
      </x:c>
      <x:c r="N46" s="11" t="n">
        <x:f aca="0"/>
        <x:v>59</x:v>
      </x:c>
      <x:c r="O46" s="11" t="n">
        <x:f aca="0"/>
        <x:v>2</x:v>
      </x:c>
      <x:c r="P46" s="11"/>
      <x:c r="Q46" s="11" t="str">
        <x:f aca="0">A46</x:f>
        <x:v>擋板</x:v>
      </x:c>
      <x:c r="R46" t="n">
        <x:v>3056</x:v>
      </x:c>
      <x:c r="S46"/>
      <x:c r="T46"/>
    </x:row>
    <x:row r="47" ht="16" hidden="0" customHeight="1">
      <x:c r="A47" s="10" t="str">
        <x:v>擋板</x:v>
      </x:c>
      <x:c r="B47" s="10" t="n">
        <x:v>70</x:v>
      </x:c>
      <x:c r="C47" s="10" t="n">
        <x:v>695</x:v>
      </x:c>
      <x:c r="D47" s="10" t="n">
        <x:v>18</x:v>
      </x:c>
      <x:c r="E47" s="10"/>
      <x:c r="F47" s="10" t="n">
        <x:v>1</x:v>
      </x:c>
      <x:c r="G47" s="10"/>
      <x:c r="H47" s="10" t="n">
        <x:v>69</x:v>
      </x:c>
      <x:c r="I47" s="11" t="n">
        <x:f aca="0">ROUND((IF((B47*C47)/90000&lt;1,1))+IF((B47*C47)/90000&gt;=1,(B47*C47)/90000),1.1)</x:f>
        <x:v>1</x:v>
      </x:c>
      <x:c r="J47" s="11" t="n">
        <x:f aca="0">SUM(F47*I47)</x:f>
        <x:v>1</x:v>
      </x:c>
      <x:c r="K47" s="11" t="n">
        <x:f aca="0">SUM(H47*J47)</x:f>
        <x:v>69</x:v>
      </x:c>
      <x:c r="L47" s="61" t="str">
        <x:v>立擋板斜</x:v>
      </x:c>
      <x:c r="M47" s="11" t="n">
        <x:f aca="0"/>
        <x:v>695</x:v>
      </x:c>
      <x:c r="N47" s="11" t="n">
        <x:f aca="0"/>
        <x:v>69</x:v>
      </x:c>
      <x:c r="O47" s="11" t="n">
        <x:f aca="0"/>
        <x:v>1</x:v>
      </x:c>
      <x:c r="P47" s="11"/>
      <x:c r="Q47" s="11" t="str">
        <x:f aca="0">A47</x:f>
        <x:v>擋板</x:v>
      </x:c>
      <x:c r="R47" s="1" t="n">
        <x:f aca="0"/>
        <x:v>1390</x:v>
      </x:c>
      <x:c r="S47"/>
      <x:c r="T47"/>
    </x:row>
    <x:row r="48" ht="16" hidden="0" customHeight="1">
      <x:c r="A48" s="10" t="str">
        <x:v>背板</x:v>
      </x:c>
      <x:c r="B48" s="10" t="n">
        <x:v>294</x:v>
      </x:c>
      <x:c r="C48" s="10" t="n">
        <x:v>1274</x:v>
      </x:c>
      <x:c r="D48" s="10" t="n">
        <x:v>8</x:v>
      </x:c>
      <x:c r="E48" s="10"/>
      <x:c r="F48" s="10" t="n">
        <x:v>2</x:v>
      </x:c>
      <x:c r="G48" s="10"/>
      <x:c r="H48" s="10" t="n">
        <x:v>50</x:v>
      </x:c>
      <x:c r="I48" s="11" t="n">
        <x:f aca="0">ROUND((IF((B48*C48)/90000&lt;1,1))+IF((B48*C48)/90000&gt;=1,(B48*C48)/90000),1.1)</x:f>
        <x:v>4.2</x:v>
      </x:c>
      <x:c r="J48" s="11" t="n">
        <x:f aca="0">SUM(F48*I48)</x:f>
        <x:v>8.4</x:v>
      </x:c>
      <x:c r="K48" s="11" t="n">
        <x:f aca="0">SUM(H48*J48)</x:f>
        <x:v>420</x:v>
      </x:c>
      <x:c r="L48" s="61"/>
      <x:c r="M48" s="11" t="n">
        <x:f aca="0"/>
        <x:v>1274</x:v>
      </x:c>
      <x:c r="N48" s="11" t="n">
        <x:f aca="0"/>
        <x:v>294</x:v>
      </x:c>
      <x:c r="O48" s="11" t="n">
        <x:f aca="0"/>
        <x:v>2</x:v>
      </x:c>
      <x:c r="P48" s="11"/>
      <x:c r="Q48" s="11" t="str">
        <x:f aca="0">A48</x:f>
        <x:v>背板</x:v>
      </x:c>
      <x:c r="R48"/>
      <x:c r="S48" s="1">
        <x:f aca="0"/>
      </x:c>
      <x:c r="T48"/>
    </x:row>
    <x:row r="49" ht="16" hidden="0" customHeight="1">
      <x:c r="A49" s="10" t="str">
        <x:v>背板</x:v>
      </x:c>
      <x:c r="B49" s="10" t="n">
        <x:v>374</x:v>
      </x:c>
      <x:c r="C49" s="10" t="n">
        <x:v>2150</x:v>
      </x:c>
      <x:c r="D49" s="10" t="n">
        <x:v>8</x:v>
      </x:c>
      <x:c r="E49" s="10"/>
      <x:c r="F49" s="10" t="n">
        <x:v>1</x:v>
      </x:c>
      <x:c r="G49" s="10"/>
      <x:c r="H49" s="10" t="n">
        <x:v>50</x:v>
      </x:c>
      <x:c r="I49" s="11" t="n">
        <x:f aca="0">ROUND((IF((B49*C49)/90000&lt;1,1))+IF((B49*C49)/90000&gt;=1,(B49*C49)/90000),1.1)</x:f>
        <x:v>8.9</x:v>
      </x:c>
      <x:c r="J49" s="11" t="n">
        <x:f aca="0">SUM(F49*I49)</x:f>
        <x:v>8.9</x:v>
      </x:c>
      <x:c r="K49" s="11" t="n">
        <x:f aca="0">SUM(H49*J49)</x:f>
        <x:v>445</x:v>
      </x:c>
      <x:c r="L49" s="61"/>
      <x:c r="M49" s="11" t="n">
        <x:f aca="0"/>
        <x:v>2150</x:v>
      </x:c>
      <x:c r="N49" s="11" t="n">
        <x:f aca="0"/>
        <x:v>374</x:v>
      </x:c>
      <x:c r="O49" s="11" t="n">
        <x:f aca="0"/>
        <x:v>1</x:v>
      </x:c>
      <x:c r="P49" s="11"/>
      <x:c r="Q49" s="11" t="str">
        <x:f aca="0">A49</x:f>
        <x:v>背板</x:v>
      </x:c>
      <x:c r="R49"/>
      <x:c r="S49"/>
      <x:c r="T49"/>
    </x:row>
    <x:row r="50" ht="16" hidden="0" customHeight="1">
      <x:c r="A50" s="10" t="str">
        <x:v>背板</x:v>
      </x:c>
      <x:c r="B50" s="10" t="n">
        <x:v>474</x:v>
      </x:c>
      <x:c r="C50" s="10" t="n">
        <x:v>2150</x:v>
      </x:c>
      <x:c r="D50" s="10" t="n">
        <x:v>8</x:v>
      </x:c>
      <x:c r="E50" s="10"/>
      <x:c r="F50" s="10" t="n">
        <x:v>1</x:v>
      </x:c>
      <x:c r="G50" s="10"/>
      <x:c r="H50" s="10" t="n">
        <x:v>50</x:v>
      </x:c>
      <x:c r="I50" s="11" t="n">
        <x:f aca="0">ROUND((IF((B50*C50)/90000&lt;1,1))+IF((B50*C50)/90000&gt;=1,(B50*C50)/90000),1.1)</x:f>
        <x:v>11.3</x:v>
      </x:c>
      <x:c r="J50" s="11" t="n">
        <x:f aca="0">SUM(F50*I50)</x:f>
        <x:v>11.3</x:v>
      </x:c>
      <x:c r="K50" s="11" t="n">
        <x:f aca="0">SUM(H50*J50)</x:f>
        <x:v>565</x:v>
      </x:c>
      <x:c r="L50" s="61"/>
      <x:c r="M50" s="11" t="n">
        <x:f aca="0"/>
        <x:v>2150</x:v>
      </x:c>
      <x:c r="N50" s="11" t="n">
        <x:f aca="0"/>
        <x:v>474</x:v>
      </x:c>
      <x:c r="O50" s="11" t="n">
        <x:f aca="0"/>
        <x:v>1</x:v>
      </x:c>
      <x:c r="P50" s="11"/>
      <x:c r="Q50" s="11" t="str">
        <x:f aca="0">A50</x:f>
        <x:v>背板</x:v>
      </x:c>
      <x:c r="R50"/>
      <x:c r="S50"/>
      <x:c r="T50"/>
    </x:row>
    <x:row r="51" ht="16" hidden="0" customHeight="1">
      <x:c r="A51" s="10" t="str">
        <x:v>背板</x:v>
      </x:c>
      <x:c r="B51" s="10" t="n">
        <x:v>624</x:v>
      </x:c>
      <x:c r="C51" s="10" t="n">
        <x:v>294</x:v>
      </x:c>
      <x:c r="D51" s="10" t="n">
        <x:v>8</x:v>
      </x:c>
      <x:c r="E51" s="10"/>
      <x:c r="F51" s="10" t="n">
        <x:v>1</x:v>
      </x:c>
      <x:c r="G51" s="10"/>
      <x:c r="H51" s="10" t="n">
        <x:v>50</x:v>
      </x:c>
      <x:c r="I51" s="11" t="n">
        <x:f aca="0">ROUND((IF((B51*C51)/90000&lt;1,1))+IF((B51*C51)/90000&gt;=1,(B51*C51)/90000),1.1)</x:f>
        <x:v>2</x:v>
      </x:c>
      <x:c r="J51" s="11" t="n">
        <x:f aca="0">SUM(F51*I51)</x:f>
        <x:v>2</x:v>
      </x:c>
      <x:c r="K51" s="11" t="n">
        <x:f aca="0">SUM(H51*J51)</x:f>
        <x:v>100</x:v>
      </x:c>
      <x:c r="L51" s="61"/>
      <x:c r="M51" s="11" t="n">
        <x:f aca="0"/>
        <x:v>294</x:v>
      </x:c>
      <x:c r="N51" s="11" t="n">
        <x:f aca="0"/>
        <x:v>624</x:v>
      </x:c>
      <x:c r="O51" s="11" t="n">
        <x:f aca="0"/>
        <x:v>1</x:v>
      </x:c>
      <x:c r="P51" s="11"/>
      <x:c r="Q51" s="11" t="str">
        <x:f aca="0">A51</x:f>
        <x:v>背板</x:v>
      </x:c>
      <x:c r="R51"/>
      <x:c r="S51"/>
      <x:c r="T51"/>
    </x:row>
    <x:row r="52" ht="16" hidden="0" customHeight="1">
      <x:c r="A52" s="10" t="str">
        <x:v>背板</x:v>
      </x:c>
      <x:c r="B52" s="10" t="n">
        <x:v>774</x:v>
      </x:c>
      <x:c r="C52" s="10" t="n">
        <x:v>710</x:v>
      </x:c>
      <x:c r="D52" s="10" t="n">
        <x:v>8</x:v>
      </x:c>
      <x:c r="E52" s="10"/>
      <x:c r="F52" s="10" t="n">
        <x:v>1</x:v>
      </x:c>
      <x:c r="G52" s="10"/>
      <x:c r="H52" s="10" t="n">
        <x:v>50</x:v>
      </x:c>
      <x:c r="I52" s="11" t="n">
        <x:f aca="0">ROUND((IF((B52*C52)/90000&lt;1,1))+IF((B52*C52)/90000&gt;=1,(B52*C52)/90000),1.1)</x:f>
        <x:v>6.1</x:v>
      </x:c>
      <x:c r="J52" s="11" t="n">
        <x:f aca="0">SUM(F52*I52)</x:f>
        <x:v>6.1</x:v>
      </x:c>
      <x:c r="K52" s="11" t="n">
        <x:f aca="0">SUM(H52*J52)</x:f>
        <x:v>305</x:v>
      </x:c>
      <x:c r="L52" s="61"/>
      <x:c r="M52" s="11" t="n">
        <x:f aca="0"/>
        <x:v>710</x:v>
      </x:c>
      <x:c r="N52" s="11" t="n">
        <x:f aca="0"/>
        <x:v>774</x:v>
      </x:c>
      <x:c r="O52" s="11" t="n">
        <x:f aca="0"/>
        <x:v>1</x:v>
      </x:c>
      <x:c r="P52" s="11"/>
      <x:c r="Q52" s="11" t="str">
        <x:f aca="0">A52</x:f>
        <x:v>背板</x:v>
      </x:c>
      <x:c r="R52"/>
      <x:c r="S52"/>
      <x:c r="T52"/>
    </x:row>
    <x:row r="53" ht="16" hidden="0" customHeight="1">
      <x:c r="A53" s="12" t="str">
        <x:v>背板</x:v>
      </x:c>
      <x:c r="B53" s="10" t="n">
        <x:v>774</x:v>
      </x:c>
      <x:c r="C53" s="10" t="n">
        <x:v>838</x:v>
      </x:c>
      <x:c r="D53" s="10" t="n">
        <x:v>8</x:v>
      </x:c>
      <x:c r="E53" s="10"/>
      <x:c r="F53" s="10" t="n">
        <x:v>1</x:v>
      </x:c>
      <x:c r="G53" s="10"/>
      <x:c r="H53" s="10" t="n">
        <x:v>50</x:v>
      </x:c>
      <x:c r="I53" s="11" t="n">
        <x:f>ROUND((IF((B53*C53)/90000&lt;1,1))+IF((B53*C53)/90000&gt;=1,(B53*C53)/90000),1.1)</x:f>
        <x:v>7.2</x:v>
      </x:c>
      <x:c r="J53" s="11" t="n">
        <x:f>SUM(F53*I53)</x:f>
        <x:v>7.2</x:v>
      </x:c>
      <x:c r="K53" s="11" t="n">
        <x:f aca="0">SUM(H53*J53)</x:f>
        <x:v>360</x:v>
      </x:c>
      <x:c r="L53" s="61"/>
      <x:c r="M53" s="11" t="n">
        <x:v>838</x:v>
      </x:c>
      <x:c r="N53" s="11" t="n">
        <x:v>774</x:v>
      </x:c>
      <x:c r="O53" s="11" t="n">
        <x:v>1</x:v>
      </x:c>
      <x:c r="P53" s="11"/>
      <x:c r="Q53" s="11" t="str">
        <x:f>A53</x:f>
        <x:v>背板</x:v>
      </x:c>
      <x:c r="R53"/>
      <x:c r="S53"/>
      <x:c r="T53"/>
    </x:row>
    <x:row r="54" ht="16" hidden="0" customHeight="1">
      <x:c r="A54" s="12" t="str">
        <x:v>背板</x:v>
      </x:c>
      <x:c r="B54" s="10" t="n">
        <x:v>774</x:v>
      </x:c>
      <x:c r="C54" s="10" t="n">
        <x:v>2054</x:v>
      </x:c>
      <x:c r="D54" s="10" t="n">
        <x:v>8</x:v>
      </x:c>
      <x:c r="E54" s="10"/>
      <x:c r="F54" s="10" t="n">
        <x:v>1</x:v>
      </x:c>
      <x:c r="G54" s="10"/>
      <x:c r="H54" s="10" t="n">
        <x:v>50</x:v>
      </x:c>
      <x:c r="I54" s="11" t="n">
        <x:f>ROUND((IF((B54*C54)/90000&lt;1,1))+IF((B54*C54)/90000&gt;=1,(B54*C54)/90000),1.1)</x:f>
        <x:v>17.7</x:v>
      </x:c>
      <x:c r="J54" s="11" t="n">
        <x:f>SUM(F54*I54)</x:f>
        <x:v>17.7</x:v>
      </x:c>
      <x:c r="K54" s="11" t="n">
        <x:f aca="0">SUM(H54*J54)</x:f>
        <x:v>885</x:v>
      </x:c>
      <x:c r="L54" s="61"/>
      <x:c r="M54" s="11" t="n">
        <x:v>2054</x:v>
      </x:c>
      <x:c r="N54" s="11" t="n">
        <x:v>774</x:v>
      </x:c>
      <x:c r="O54" s="11" t="n">
        <x:v>1</x:v>
      </x:c>
      <x:c r="P54" s="11"/>
      <x:c r="Q54" s="11" t="str">
        <x:f>A54</x:f>
        <x:v>背板</x:v>
      </x:c>
      <x:c r="R54" s="9"/>
      <x:c r="S54" s="13"/>
      <x:c r="T54"/>
    </x:row>
    <x:row r="55" ht="16" hidden="0" customHeight="1">
      <x:c r="A55" s="10" t="str">
        <x:v>背板</x:v>
      </x:c>
      <x:c r="B55" s="10" t="n">
        <x:v>774</x:v>
      </x:c>
      <x:c r="C55" s="10" t="n">
        <x:v>2150</x:v>
      </x:c>
      <x:c r="D55" s="10" t="n">
        <x:v>8</x:v>
      </x:c>
      <x:c r="E55" s="10"/>
      <x:c r="F55" s="10" t="n">
        <x:v>1</x:v>
      </x:c>
      <x:c r="G55" s="10"/>
      <x:c r="H55" s="10" t="n">
        <x:v>50</x:v>
      </x:c>
      <x:c r="I55" s="11" t="n">
        <x:f>ROUND((IF((B55*C55)/90000&lt;1,1))+IF((B55*C55)/90000&gt;=1,(B55*C55)/90000),1.1)</x:f>
        <x:v>18.5</x:v>
      </x:c>
      <x:c r="J55" s="11" t="n">
        <x:f>SUM(F55*I55)</x:f>
        <x:v>18.5</x:v>
      </x:c>
      <x:c r="K55" s="11" t="n">
        <x:f aca="0">SUM(H55*J55)</x:f>
        <x:v>925</x:v>
      </x:c>
      <x:c r="L55" s="61"/>
      <x:c r="M55" s="11" t="n">
        <x:v>2150</x:v>
      </x:c>
      <x:c r="N55" s="11" t="n">
        <x:v>774</x:v>
      </x:c>
      <x:c r="O55" s="11" t="n">
        <x:v>1</x:v>
      </x:c>
      <x:c r="P55" s="11"/>
      <x:c r="Q55" s="11" t="str">
        <x:f>A55</x:f>
        <x:v>背板</x:v>
      </x:c>
      <x:c r="R55"/>
      <x:c r="S55"/>
      <x:c r="T55"/>
    </x:row>
    <x:row r="56" ht="16" hidden="0" customHeight="1">
      <x:c r="A56" s="10" t="str">
        <x:v>踢腳板</x:v>
      </x:c>
      <x:c r="B56" s="10" t="n">
        <x:v>120</x:v>
      </x:c>
      <x:c r="C56" s="10" t="n">
        <x:v>2800</x:v>
      </x:c>
      <x:c r="D56" s="10" t="n">
        <x:v>18</x:v>
      </x:c>
      <x:c r="E56" s="10"/>
      <x:c r="F56" s="10" t="n">
        <x:v>2</x:v>
      </x:c>
      <x:c r="G56" s="10"/>
      <x:c r="H56" s="10" t="n">
        <x:v>50</x:v>
      </x:c>
      <x:c r="I56" s="11" t="n">
        <x:f>ROUND((IF((B56*C56)/90000&lt;1,1))+IF((B56*C56)/90000&gt;=1,(B56*C56)/90000),1.1)</x:f>
        <x:v>3.7</x:v>
      </x:c>
      <x:c r="J56" s="11" t="n">
        <x:f>SUM(F56*I56)</x:f>
        <x:v>7.4</x:v>
      </x:c>
      <x:c r="K56" s="11" t="n">
        <x:f aca="0">SUM(H56*J56)</x:f>
        <x:v>370</x:v>
      </x:c>
      <x:c r="L56" s="61"/>
      <x:c r="M56" s="11" t="n">
        <x:v>2800</x:v>
      </x:c>
      <x:c r="N56" s="11" t="n">
        <x:v>120</x:v>
      </x:c>
      <x:c r="O56" s="11" t="n">
        <x:v>2</x:v>
      </x:c>
      <x:c r="P56" s="11"/>
      <x:c r="Q56" s="11" t="str">
        <x:f>A56</x:f>
        <x:v>踢腳板</x:v>
      </x:c>
      <x:c r="R56" t="n">
        <x:v>5600</x:v>
      </x:c>
      <x:c r="S56"/>
      <x:c r="T56"/>
    </x:row>
    <x:row r="57" ht="16" hidden="0" customHeight="1">
      <x:c r="A57" s="10" t="str">
        <x:v>檯面</x:v>
      </x:c>
      <x:c r="B57" s="10" t="n">
        <x:v>100</x:v>
      </x:c>
      <x:c r="C57" s="10" t="n">
        <x:v>488</x:v>
      </x:c>
      <x:c r="D57" s="10" t="n">
        <x:v>25</x:v>
      </x:c>
      <x:c r="E57" s="10"/>
      <x:c r="F57" s="10" t="n">
        <x:v>1</x:v>
      </x:c>
      <x:c r="G57" s="10"/>
      <x:c r="H57" s="10" t="n">
        <x:v>126</x:v>
      </x:c>
      <x:c r="I57" s="11" t="n">
        <x:f>ROUND((IF((B57*C57)/90000&lt;1,1))+IF((B57*C57)/90000&gt;=1,(B57*C57)/90000),1.1)</x:f>
        <x:v>1</x:v>
      </x:c>
      <x:c r="J57" s="11" t="n">
        <x:f>SUM(F57*I57)</x:f>
        <x:v>1</x:v>
      </x:c>
      <x:c r="K57" s="11" t="n">
        <x:f aca="0">SUM(H57*J57)</x:f>
        <x:v>126</x:v>
      </x:c>
      <x:c r="L57" s="61"/>
      <x:c r="M57" s="11" t="n">
        <x:v>488</x:v>
      </x:c>
      <x:c r="N57" s="11" t="n">
        <x:v>99</x:v>
      </x:c>
      <x:c r="O57" s="11" t="n">
        <x:v>1</x:v>
      </x:c>
      <x:c r="P57" s="11"/>
      <x:c r="Q57" s="11" t="str">
        <x:f>A57</x:f>
        <x:v>檯面</x:v>
      </x:c>
      <x:c r="R57"/>
      <x:c r="S57" t="n">
        <x:v>688</x:v>
      </x:c>
      <x:c r="T57"/>
    </x:row>
    <x:row r="58" ht="16" hidden="0" customHeight="1">
      <x:c r="A58" s="12" t="str">
        <x:v>檯面</x:v>
      </x:c>
      <x:c r="B58" s="10" t="n">
        <x:v>420</x:v>
      </x:c>
      <x:c r="C58" s="10" t="n">
        <x:v>650</x:v>
      </x:c>
      <x:c r="D58" s="10" t="n">
        <x:v>25</x:v>
      </x:c>
      <x:c r="E58" s="10"/>
      <x:c r="F58" s="10" t="n">
        <x:v>1</x:v>
      </x:c>
      <x:c r="G58" s="10"/>
      <x:c r="H58" s="10" t="n">
        <x:v>126</x:v>
      </x:c>
      <x:c r="I58" s="11" t="n">
        <x:f>ROUND((IF((B58*C58)/90000&lt;1,1))+IF((B58*C58)/90000&gt;=1,(B58*C58)/90000),1.1)</x:f>
        <x:v>3</x:v>
      </x:c>
      <x:c r="J58" s="11" t="n">
        <x:f>SUM(F58*I58)</x:f>
        <x:v>3</x:v>
      </x:c>
      <x:c r="K58" s="11" t="n">
        <x:f aca="0">SUM(H58*J58)</x:f>
        <x:v>378</x:v>
      </x:c>
      <x:c r="L58" s="61"/>
      <x:c r="M58" s="11" t="n">
        <x:v>650</x:v>
      </x:c>
      <x:c r="N58" s="11" t="n">
        <x:v>419</x:v>
      </x:c>
      <x:c r="O58" s="11" t="n">
        <x:v>1</x:v>
      </x:c>
      <x:c r="P58" s="11"/>
      <x:c r="Q58" s="11" t="str">
        <x:f>A58</x:f>
        <x:v>檯面</x:v>
      </x:c>
      <x:c r="R58"/>
      <x:c r="S58" t="n">
        <x:v>1490</x:v>
      </x:c>
      <x:c r="T58"/>
    </x:row>
    <x:row r="59" ht="16" hidden="0" customHeight="1">
      <x:c r="A59" s="10" t="str">
        <x:v>檯面</x:v>
      </x:c>
      <x:c r="B59" s="10" t="n">
        <x:v>420</x:v>
      </x:c>
      <x:c r="C59" s="10" t="n">
        <x:v>800</x:v>
      </x:c>
      <x:c r="D59" s="10" t="n">
        <x:v>25</x:v>
      </x:c>
      <x:c r="E59" s="10"/>
      <x:c r="F59" s="10" t="n">
        <x:v>1</x:v>
      </x:c>
      <x:c r="G59" s="10"/>
      <x:c r="H59" s="10" t="n">
        <x:v>126</x:v>
      </x:c>
      <x:c r="I59" s="11" t="n">
        <x:f>ROUND((IF((B59*C59)/90000&lt;1,1))+IF((B59*C59)/90000&gt;=1,(B59*C59)/90000),1.1)</x:f>
        <x:v>3.7</x:v>
      </x:c>
      <x:c r="J59" s="11" t="n">
        <x:f>SUM(F59*I59)</x:f>
        <x:v>3.7</x:v>
      </x:c>
      <x:c r="K59" s="11" t="n">
        <x:f aca="0">SUM(H59*J59)</x:f>
        <x:v>466.20000000000005</x:v>
      </x:c>
      <x:c r="L59" s="61"/>
      <x:c r="M59" s="11" t="n">
        <x:v>800</x:v>
      </x:c>
      <x:c r="N59" s="11" t="n">
        <x:v>419</x:v>
      </x:c>
      <x:c r="O59" s="11" t="n">
        <x:v>1</x:v>
      </x:c>
      <x:c r="P59" s="11"/>
      <x:c r="Q59" s="11" t="str">
        <x:f>A59</x:f>
        <x:v>檯面</x:v>
      </x:c>
      <x:c r="R59"/>
      <x:c r="S59" t="n">
        <x:v>1640</x:v>
      </x:c>
      <x:c r="T59"/>
    </x:row>
    <x:row r="60" ht="16" hidden="0" customHeight="1">
      <x:c r="A60" s="10" t="str">
        <x:v>檯面</x:v>
      </x:c>
      <x:c r="B60" s="10" t="n">
        <x:v>420</x:v>
      </x:c>
      <x:c r="C60" s="10" t="n">
        <x:v>1300</x:v>
      </x:c>
      <x:c r="D60" s="10" t="n">
        <x:v>25</x:v>
      </x:c>
      <x:c r="E60" s="10"/>
      <x:c r="F60" s="10" t="n">
        <x:v>1</x:v>
      </x:c>
      <x:c r="G60" s="10"/>
      <x:c r="H60" s="10" t="n">
        <x:v>126</x:v>
      </x:c>
      <x:c r="I60" s="11" t="n">
        <x:f>ROUND((IF((B60*C60)/90000&lt;1,1))+IF((B60*C60)/90000&gt;=1,(B60*C60)/90000),1.1)</x:f>
        <x:v>6.1</x:v>
      </x:c>
      <x:c r="J60" s="11" t="n">
        <x:f>SUM(F60*I60)</x:f>
        <x:v>6.1</x:v>
      </x:c>
      <x:c r="K60" s="11" t="n">
        <x:f aca="0">SUM(H60*J60)</x:f>
        <x:v>768.5999999999999</x:v>
      </x:c>
      <x:c r="L60" s="61"/>
      <x:c r="M60" s="11" t="n">
        <x:v>1300</x:v>
      </x:c>
      <x:c r="N60" s="11" t="n">
        <x:v>419</x:v>
      </x:c>
      <x:c r="O60" s="11" t="n">
        <x:v>1</x:v>
      </x:c>
      <x:c r="P60" s="11"/>
      <x:c r="Q60" s="11" t="str">
        <x:f>A60</x:f>
        <x:v>檯面</x:v>
      </x:c>
      <x:c r="R60"/>
      <x:c r="S60" t="n">
        <x:v>2140</x:v>
      </x:c>
      <x:c r="T60"/>
    </x:row>
    <x:row r="61" ht="16" hidden="0" customHeight="1">
      <x:c r="A61" s="12" t="str">
        <x:v>檯面</x:v>
      </x:c>
      <x:c r="B61" s="10" t="n">
        <x:v>420</x:v>
      </x:c>
      <x:c r="C61" s="10" t="n">
        <x:v>1330</x:v>
      </x:c>
      <x:c r="D61" s="10" t="n">
        <x:v>25</x:v>
      </x:c>
      <x:c r="E61" s="10"/>
      <x:c r="F61" s="10" t="n">
        <x:v>1</x:v>
      </x:c>
      <x:c r="G61" s="10"/>
      <x:c r="H61" s="10" t="n">
        <x:v>126</x:v>
      </x:c>
      <x:c r="I61" s="11" t="n">
        <x:f>ROUND((IF((B61*C61)/90000&lt;1,1))+IF((B61*C61)/90000&gt;=1,(B61*C61)/90000),1.1)</x:f>
        <x:v>6.2</x:v>
      </x:c>
      <x:c r="J61" s="11" t="n">
        <x:f>SUM(F61*I61)</x:f>
        <x:v>6.2</x:v>
      </x:c>
      <x:c r="K61" s="11" t="n">
        <x:f aca="0">SUM(H61*J61)</x:f>
        <x:v>781.2</x:v>
      </x:c>
      <x:c r="L61" s="61"/>
      <x:c r="M61" s="11" t="n">
        <x:v>1330</x:v>
      </x:c>
      <x:c r="N61" s="11" t="n">
        <x:v>419</x:v>
      </x:c>
      <x:c r="O61" s="11" t="n">
        <x:v>1</x:v>
      </x:c>
      <x:c r="P61" s="11"/>
      <x:c r="Q61" s="11" t="str">
        <x:f>A61</x:f>
        <x:v>檯面</x:v>
      </x:c>
      <x:c r="R61"/>
      <x:c r="S61" t="n">
        <x:v>2170</x:v>
      </x:c>
      <x:c r="T61"/>
    </x:row>
    <x:row r="62" ht="16" hidden="0" customHeight="1">
      <x:c r="A62" s="12" t="str">
        <x:v>背條</x:v>
      </x:c>
      <x:c r="B62" s="10" t="n">
        <x:v>110</x:v>
      </x:c>
      <x:c r="C62" s="10" t="n">
        <x:v>364</x:v>
      </x:c>
      <x:c r="D62" s="10" t="n">
        <x:v>18</x:v>
      </x:c>
      <x:c r="E62" s="10"/>
      <x:c r="F62" s="10" t="n">
        <x:v>1</x:v>
      </x:c>
      <x:c r="G62" s="10"/>
      <x:c r="H62" s="10" t="n">
        <x:v>65</x:v>
      </x:c>
      <x:c r="I62" s="11" t="n">
        <x:f>ROUND((IF((B62*C62)/90000&lt;1,1))+IF((B62*C62)/90000&gt;=1,(B62*C62)/90000),1.1)</x:f>
        <x:v>1</x:v>
      </x:c>
      <x:c r="J62" s="11" t="n">
        <x:f>SUM(F62*I62)</x:f>
        <x:v>1</x:v>
      </x:c>
      <x:c r="K62" s="11" t="n">
        <x:f aca="0">SUM(H62*J62)</x:f>
        <x:v>65</x:v>
      </x:c>
      <x:c r="L62" s="61"/>
      <x:c r="M62" s="11" t="n">
        <x:v>364</x:v>
      </x:c>
      <x:c r="N62" s="11" t="n">
        <x:v>110</x:v>
      </x:c>
      <x:c r="O62" s="11" t="n">
        <x:v>1</x:v>
      </x:c>
      <x:c r="P62" s="11"/>
      <x:c r="Q62" s="11" t="str">
        <x:f>A62</x:f>
        <x:v>背條</x:v>
      </x:c>
      <x:c r="R62"/>
      <x:c r="S62"/>
      <x:c r="T62"/>
    </x:row>
    <x:row r="63" ht="16" hidden="0" customHeight="1">
      <x:c r="A63" s="12" t="str">
        <x:v>背條</x:v>
      </x:c>
      <x:c r="B63" s="10" t="n">
        <x:v>110</x:v>
      </x:c>
      <x:c r="C63" s="10" t="n">
        <x:v>450</x:v>
      </x:c>
      <x:c r="D63" s="10" t="n">
        <x:v>18</x:v>
      </x:c>
      <x:c r="E63" s="10"/>
      <x:c r="F63" s="10" t="n">
        <x:v>2</x:v>
      </x:c>
      <x:c r="G63" s="10"/>
      <x:c r="H63" s="10" t="n">
        <x:v>65</x:v>
      </x:c>
      <x:c r="I63" s="11" t="n">
        <x:f>ROUND((IF((B63*C63)/90000&lt;1,1))+IF((B63*C63)/90000&gt;=1,(B63*C63)/90000),1.1)</x:f>
        <x:v>1</x:v>
      </x:c>
      <x:c r="J63" s="11" t="n">
        <x:f>SUM(F63*I63)</x:f>
        <x:v>2</x:v>
      </x:c>
      <x:c r="K63" s="11" t="n">
        <x:f aca="0">SUM(H63*J63)</x:f>
        <x:v>130</x:v>
      </x:c>
      <x:c r="L63" s="61"/>
      <x:c r="M63" s="11" t="n">
        <x:v>450</x:v>
      </x:c>
      <x:c r="N63" s="11" t="n">
        <x:v>110</x:v>
      </x:c>
      <x:c r="O63" s="11" t="n">
        <x:v>2</x:v>
      </x:c>
      <x:c r="P63" s="11"/>
      <x:c r="Q63" s="11" t="str">
        <x:f>A63</x:f>
        <x:v>背條</x:v>
      </x:c>
      <x:c r="R63"/>
      <x:c r="S63"/>
      <x:c r="T63"/>
    </x:row>
    <x:row r="64" ht="16" hidden="0" customHeight="1">
      <x:c r="A64" s="12" t="str">
        <x:v>背條</x:v>
      </x:c>
      <x:c r="B64" s="10" t="n">
        <x:v>110</x:v>
      </x:c>
      <x:c r="C64" s="10" t="n">
        <x:v>464</x:v>
      </x:c>
      <x:c r="D64" s="10" t="n">
        <x:v>18</x:v>
      </x:c>
      <x:c r="E64" s="10"/>
      <x:c r="F64" s="10" t="n">
        <x:v>1</x:v>
      </x:c>
      <x:c r="G64" s="10"/>
      <x:c r="H64" s="10" t="n">
        <x:v>65</x:v>
      </x:c>
      <x:c r="I64" s="11" t="n">
        <x:f>ROUND((IF((B64*C64)/90000&lt;1,1))+IF((B64*C64)/90000&gt;=1,(B64*C64)/90000),1.1)</x:f>
        <x:v>1</x:v>
      </x:c>
      <x:c r="J64" s="11" t="n">
        <x:f>SUM(F64*I64)</x:f>
        <x:v>1</x:v>
      </x:c>
      <x:c r="K64" s="11" t="n">
        <x:f aca="0">SUM(H64*J64)</x:f>
        <x:v>65</x:v>
      </x:c>
      <x:c r="L64" s="61"/>
      <x:c r="M64" s="11" t="n">
        <x:v>464</x:v>
      </x:c>
      <x:c r="N64" s="11" t="n">
        <x:v>110</x:v>
      </x:c>
      <x:c r="O64" s="11" t="n">
        <x:v>1</x:v>
      </x:c>
      <x:c r="P64" s="11"/>
      <x:c r="Q64" s="11" t="str">
        <x:f>A64</x:f>
        <x:v>背條</x:v>
      </x:c>
      <x:c r="R64"/>
      <x:c r="S64"/>
      <x:c r="T64"/>
    </x:row>
    <x:row r="65" ht="16" hidden="0" customHeight="1">
      <x:c r="A65" s="12" t="str">
        <x:v>背條</x:v>
      </x:c>
      <x:c r="B65" s="10" t="n">
        <x:v>110</x:v>
      </x:c>
      <x:c r="C65" s="10" t="n">
        <x:v>764</x:v>
      </x:c>
      <x:c r="D65" s="10" t="n">
        <x:v>18</x:v>
      </x:c>
      <x:c r="E65" s="10"/>
      <x:c r="F65" s="10" t="n">
        <x:v>5</x:v>
      </x:c>
      <x:c r="G65" s="10"/>
      <x:c r="H65" s="10" t="n">
        <x:v>65</x:v>
      </x:c>
      <x:c r="I65" s="11" t="n">
        <x:f>ROUND((IF((B65*C65)/90000&lt;1,1))+IF((B65*C65)/90000&gt;=1,(B65*C65)/90000),1.1)</x:f>
        <x:v>1</x:v>
      </x:c>
      <x:c r="J65" s="11" t="n">
        <x:f>SUM(F65*I65)</x:f>
        <x:v>5</x:v>
      </x:c>
      <x:c r="K65" s="11" t="n">
        <x:f aca="0">SUM(H65*J65)</x:f>
        <x:v>325</x:v>
      </x:c>
      <x:c r="L65" s="61"/>
      <x:c r="M65" s="11" t="n">
        <x:v>764</x:v>
      </x:c>
      <x:c r="N65" s="11" t="n">
        <x:v>110</x:v>
      </x:c>
      <x:c r="O65" s="11" t="n">
        <x:v>5</x:v>
      </x:c>
      <x:c r="P65" s="11"/>
      <x:c r="Q65" s="11" t="str">
        <x:f>A65</x:f>
        <x:v>背條</x:v>
      </x:c>
      <x:c r="R65"/>
      <x:c r="S65"/>
      <x:c r="T65"/>
    </x:row>
    <x:row r="66" ht="16" hidden="0" customHeight="1">
      <x:c r="A66" s="10" t="str">
        <x:v>A10</x:v>
      </x:c>
      <x:c r="B66" s="10"/>
      <x:c r="C66" s="10"/>
      <x:c r="D66" s="10"/>
      <x:c r="E66" s="10"/>
      <x:c r="F66" s="10" t="n">
        <x:v>26</x:v>
      </x:c>
      <x:c r="G66" s="10"/>
      <x:c r="H66" s="10" t="n">
        <x:v>11</x:v>
      </x:c>
      <x:c r="I66" s="11"/>
      <x:c r="J66" s="11"/>
      <x:c r="K66" s="11" t="n">
        <x:f aca="0">SUM(F66*H66)</x:f>
        <x:v>286</x:v>
      </x:c>
      <x:c r="L66" s="61"/>
      <x:c r="M66" s="11"/>
      <x:c r="N66" s="11"/>
      <x:c r="O66" s="11"/>
      <x:c r="P66" s="11"/>
      <x:c r="Q66" s="11"/>
      <x:c r="R66"/>
      <x:c r="S66"/>
      <x:c r="T66"/>
    </x:row>
    <x:row r="67" ht="16" hidden="0" customHeight="1">
      <x:c r="A67" s="12" t="str">
        <x:v>KD</x:v>
      </x:c>
      <x:c r="B67" s="10"/>
      <x:c r="C67" s="10"/>
      <x:c r="D67" s="10"/>
      <x:c r="E67" s="10"/>
      <x:c r="F67" s="10" t="n">
        <x:v>72</x:v>
      </x:c>
      <x:c r="G67" s="10"/>
      <x:c r="H67" s="10" t="n">
        <x:v>9</x:v>
      </x:c>
      <x:c r="I67" s="11"/>
      <x:c r="J67" s="11"/>
      <x:c r="K67" s="11" t="n">
        <x:f aca="0">SUM(F67*H67)</x:f>
        <x:v>648</x:v>
      </x:c>
      <x:c r="L67" s="61"/>
      <x:c r="M67" s="11"/>
      <x:c r="N67" s="11"/>
      <x:c r="O67" s="11"/>
      <x:c r="P67" s="11"/>
      <x:c r="Q67" s="11"/>
      <x:c r="R67"/>
      <x:c r="S67"/>
      <x:c r="T67"/>
    </x:row>
    <x:row r="68" ht="16" hidden="0" customHeight="1">
      <x:c r="A68" s="10" t="str">
        <x:v>抽木榫</x:v>
      </x:c>
      <x:c r="B68" s="10"/>
      <x:c r="C68" s="10"/>
      <x:c r="D68" s="10"/>
      <x:c r="E68" s="10"/>
      <x:c r="F68" s="10" t="n">
        <x:v>128</x:v>
      </x:c>
      <x:c r="G68" s="10"/>
      <x:c r="H68" s="10" t="n">
        <x:v>1</x:v>
      </x:c>
      <x:c r="I68" s="11"/>
      <x:c r="J68" s="11"/>
      <x:c r="K68" s="11" t="n">
        <x:f aca="0">SUM(F68*H68)</x:f>
        <x:v>128</x:v>
      </x:c>
      <x:c r="L68" s="61"/>
      <x:c r="M68" s="11"/>
      <x:c r="N68" s="11"/>
      <x:c r="O68" s="11"/>
      <x:c r="P68" s="11"/>
      <x:c r="Q68" s="11"/>
      <x:c r="R68"/>
      <x:c r="S68"/>
      <x:c r="T68"/>
    </x:row>
    <x:row r="69" ht="16" hidden="0" customHeight="1">
      <x:c r="A69" s="10" t="str">
        <x:v>固格器</x:v>
      </x:c>
      <x:c r="B69" s="10"/>
      <x:c r="C69" s="10"/>
      <x:c r="D69" s="10"/>
      <x:c r="E69" s="10"/>
      <x:c r="F69" s="10" t="n">
        <x:v>32</x:v>
      </x:c>
      <x:c r="G69" s="10"/>
      <x:c r="H69" s="10" t="n">
        <x:v>11</x:v>
      </x:c>
      <x:c r="I69" s="11"/>
      <x:c r="J69" s="11"/>
      <x:c r="K69" s="11" t="n">
        <x:f aca="0">SUM(F69*H69)</x:f>
        <x:v>352</x:v>
      </x:c>
      <x:c r="L69" s="61"/>
      <x:c r="M69" s="11"/>
      <x:c r="N69" s="11"/>
      <x:c r="O69" s="11"/>
      <x:c r="P69" s="11"/>
      <x:c r="Q69" s="11"/>
      <x:c r="R69"/>
      <x:c r="S69"/>
      <x:c r="T69"/>
    </x:row>
    <x:row r="70" ht="16" hidden="0" customHeight="1">
      <x:c r="A70" s="10" t="str">
        <x:v>活格利</x:v>
      </x:c>
      <x:c r="B70" s="10"/>
      <x:c r="C70" s="10"/>
      <x:c r="D70" s="10"/>
      <x:c r="E70" s="10"/>
      <x:c r="F70" s="10" t="n">
        <x:v>80</x:v>
      </x:c>
      <x:c r="G70" s="10"/>
      <x:c r="H70" s="10" t="n">
        <x:v>7</x:v>
      </x:c>
      <x:c r="I70" s="11"/>
      <x:c r="J70" s="11"/>
      <x:c r="K70" s="11" t="n">
        <x:f aca="0">SUM(F70*H70)</x:f>
        <x:v>560</x:v>
      </x:c>
      <x:c r="L70" s="61"/>
      <x:c r="M70" s="11"/>
      <x:c r="N70" s="11"/>
      <x:c r="O70" s="11"/>
      <x:c r="P70" s="11"/>
      <x:c r="Q70" s="11"/>
      <x:c r="R70"/>
      <x:c r="S70"/>
      <x:c r="T70"/>
    </x:row>
    <x:row r="71" ht="16" hidden="0" customHeight="1">
      <x:c r="A71" s="10" t="str">
        <x:v>GS鉸鍊</x:v>
      </x:c>
      <x:c r="B71" s="10"/>
      <x:c r="C71" s="10"/>
      <x:c r="D71" s="10"/>
      <x:c r="E71" s="10"/>
      <x:c r="F71" s="10" t="n">
        <x:v>20</x:v>
      </x:c>
      <x:c r="G71" s="10"/>
      <x:c r="H71" s="10" t="n">
        <x:v>50</x:v>
      </x:c>
      <x:c r="I71" s="11"/>
      <x:c r="J71" s="11"/>
      <x:c r="K71" s="11" t="n">
        <x:f aca="0">SUM(F71*H71)</x:f>
        <x:v>1000</x:v>
      </x:c>
      <x:c r="L71" s="61"/>
      <x:c r="M71" s="11"/>
      <x:c r="N71" s="11"/>
      <x:c r="O71" s="11"/>
      <x:c r="P71" s="11"/>
      <x:c r="Q71" s="11"/>
      <x:c r="R71"/>
      <x:c r="S71"/>
      <x:c r="T71"/>
    </x:row>
    <x:row r="72" ht="16" hidden="0" customHeight="1">
      <x:c r="A72" s="10" t="str">
        <x:v>油壓器</x:v>
      </x:c>
      <x:c r="B72" s="10"/>
      <x:c r="C72" s="10"/>
      <x:c r="D72" s="10"/>
      <x:c r="E72" s="10"/>
      <x:c r="F72" s="10" t="n">
        <x:v>7</x:v>
      </x:c>
      <x:c r="G72" s="10"/>
      <x:c r="H72" s="10" t="n">
        <x:v>90</x:v>
      </x:c>
      <x:c r="I72" s="11"/>
      <x:c r="J72" s="11"/>
      <x:c r="K72" s="11" t="n">
        <x:f aca="0">SUM(F72*H72)</x:f>
        <x:v>630</x:v>
      </x:c>
      <x:c r="L72" s="61"/>
      <x:c r="M72" s="11"/>
      <x:c r="N72" s="11"/>
      <x:c r="O72" s="11"/>
      <x:c r="P72" s="11"/>
      <x:c r="Q72" s="11"/>
      <x:c r="R72"/>
      <x:c r="S72"/>
      <x:c r="T72"/>
    </x:row>
    <x:row r="73" ht="16" hidden="0" customHeight="1">
      <x:c r="A73" s="10" t="str">
        <x:v>滑軌</x:v>
      </x:c>
      <x:c r="B73" s="10"/>
      <x:c r="C73" s="10"/>
      <x:c r="D73" s="10"/>
      <x:c r="E73" s="10"/>
      <x:c r="F73" s="10" t="n">
        <x:v>7</x:v>
      </x:c>
      <x:c r="G73" s="10"/>
      <x:c r="H73" s="10" t="n">
        <x:v>275</x:v>
      </x:c>
      <x:c r="I73" s="11"/>
      <x:c r="J73" s="11"/>
      <x:c r="K73" s="11" t="n">
        <x:f aca="0">SUM(F73*H73)</x:f>
        <x:v>1925</x:v>
      </x:c>
      <x:c r="L73" s="61" t="str">
        <x:v>35滑軌</x:v>
      </x:c>
      <x:c r="M73" s="11"/>
      <x:c r="N73" s="11"/>
      <x:c r="O73" s="11"/>
      <x:c r="P73" s="11"/>
      <x:c r="Q73" s="11"/>
      <x:c r="R73"/>
      <x:c r="S73"/>
      <x:c r="T73"/>
    </x:row>
    <x:row r="74" ht="16" hidden="0" customHeight="1">
      <x:c r="A74" s="10" t="str">
        <x:v>斜手把</x:v>
      </x:c>
      <x:c r="B74" s="10"/>
      <x:c r="C74" s="10"/>
      <x:c r="D74" s="10"/>
      <x:c r="E74" s="10"/>
      <x:c r="F74" s="10" t="n">
        <x:v>12</x:v>
      </x:c>
      <x:c r="G74" s="10"/>
      <x:c r="H74" s="10" t="n">
        <x:v>200</x:v>
      </x:c>
      <x:c r="I74" s="11"/>
      <x:c r="J74" s="11"/>
      <x:c r="K74" s="11" t="n">
        <x:f aca="0">SUM(F74*H74)</x:f>
        <x:v>2400</x:v>
      </x:c>
      <x:c r="L74" s="61"/>
      <x:c r="M74" s="11"/>
      <x:c r="N74" s="11"/>
      <x:c r="O74" s="11"/>
      <x:c r="P74" s="11"/>
      <x:c r="Q74" s="11"/>
      <x:c r="R74"/>
      <x:c r="S74"/>
      <x:c r="T74"/>
    </x:row>
    <x:row r="75" ht="16" hidden="0" customHeight="1">
      <x:c r="A75" s="10" t="str">
        <x:v>釘塞</x:v>
      </x:c>
      <x:c r="B75" s="10"/>
      <x:c r="C75" s="10"/>
      <x:c r="D75" s="10"/>
      <x:c r="E75" s="10"/>
      <x:c r="F75" s="10" t="n">
        <x:v>6</x:v>
      </x:c>
      <x:c r="G75" s="10"/>
      <x:c r="H75" s="10" t="n">
        <x:v>6</x:v>
      </x:c>
      <x:c r="I75" s="11"/>
      <x:c r="J75" s="11"/>
      <x:c r="K75" s="11" t="n">
        <x:f aca="0">SUM(F75*H75)</x:f>
        <x:v>36</x:v>
      </x:c>
      <x:c r="L75" s="61"/>
      <x:c r="M75" s="11"/>
      <x:c r="N75" s="11"/>
      <x:c r="O75" s="11"/>
      <x:c r="P75" s="11"/>
      <x:c r="Q75" s="11"/>
      <x:c r="R75"/>
      <x:c r="S75"/>
      <x:c r="T75"/>
    </x:row>
    <x:row r="76" ht="22.200000762939453" hidden="0">
      <x:c r="A76" s="10"/>
      <x:c r="B76" s="10"/>
      <x:c r="C76" s="10"/>
      <x:c r="D76" s="10"/>
      <x:c r="E76" s="10"/>
      <x:c r="F76" s="10"/>
      <x:c r="G76" s="10"/>
      <x:c r="H76" s="10"/>
      <x:c r="I76" s="11"/>
      <x:c r="J76" s="11"/>
      <x:c r="K76" s="11">
        <x:f aca="0"/>
      </x:c>
      <x:c r="L76" s="11"/>
      <x:c r="M76" s="11"/>
      <x:c r="N76" s="11"/>
      <x:c r="O76" s="11"/>
      <x:c r="P76" s="11"/>
      <x:c r="Q76" s="11"/>
      <x:c r="T76"/>
    </x:row>
    <x:row r="77" ht="22.200000762939453" hidden="0">
      <x:c r="A77" s="14"/>
      <x:c r="B77" s="14"/>
      <x:c r="C77" s="14"/>
      <x:c r="D77" s="14"/>
      <x:c r="E77" s="14"/>
      <x:c r="F77" s="14"/>
      <x:c r="G77" s="14"/>
      <x:c r="H77" s="14"/>
      <x:c r="I77" s="11" t="n">
        <x:f aca="0">SUM(B77*C77)/90000</x:f>
        <x:v>0</x:v>
      </x:c>
      <x:c r="J77" s="15" t="s">
        <x:v>17</x:v>
      </x:c>
      <x:c r="K77" s="16" t="n">
        <x:f aca="0">SUM(K4:K76)</x:f>
        <x:v>38760.600000000006</x:v>
      </x:c>
      <x:c r="L77" s="16" t="n">
        <x:f aca="0">SUM(K77*1.35)</x:f>
        <x:v>52326.81000000001</x:v>
      </x:c>
      <x:c r="M77" s="16"/>
      <x:c r="N77" s="16" t="n">
        <x:f aca="0">SUM(M77*1.25)</x:f>
        <x:v>0</x:v>
      </x:c>
      <x:c r="O77" s="16"/>
      <x:c r="P77" s="16"/>
      <x:c r="Q77" s="16"/>
      <x:c r="T77"/>
    </x:row>
    <x:row r="80">
      <x:c r="K80" t="str">
        <x:v>衣櫃試拆</x:v>
      </x:c>
    </x:row>
    <x:row r="81" ht="22.200000762939453" hidden="0">
      <x:c r="A81" s="5"/>
      <x:c r="B81" s="5"/>
      <x:c r="C81" s="5"/>
      <x:c r="D81" s="5"/>
      <x:c r="E81" s="5"/>
      <x:c r="F81" s="5"/>
      <x:c r="G81" s="6"/>
      <x:c r="H81" s="5"/>
      <x:c r="I81" s="3"/>
      <x:c r="J81" s="3"/>
      <x:c r="K81" s="4"/>
      <x:c r="L81" s="4"/>
      <x:c r="M81" s="4"/>
      <x:c r="N81" s="4"/>
      <x:c r="O81" s="4"/>
      <x:c r="P81" s="4"/>
      <x:c r="Q81" s="4"/>
      <x:c r="R81" s="4"/>
    </x:row>
    <x:row r="82" ht="22.200000762939453" hidden="0">
      <x:c r="A82" s="7" t="s">
        <x:v>3</x:v>
      </x:c>
      <x:c r="B82" s="8" t="s">
        <x:v>4</x:v>
      </x:c>
      <x:c r="C82" s="8"/>
      <x:c r="D82" s="7" t="s">
        <x:v>5</x:v>
      </x:c>
      <x:c r="E82" s="7"/>
      <x:c r="F82" s="7" t="s">
        <x:v>6</x:v>
      </x:c>
      <x:c r="G82" s="7"/>
      <x:c r="H82" s="7" t="s">
        <x:v>7</x:v>
      </x:c>
      <x:c r="I82" s="7" t="s">
        <x:v>8</x:v>
      </x:c>
      <x:c r="J82" s="7" t="s">
        <x:v>9</x:v>
      </x:c>
      <x:c r="K82" s="7" t="s">
        <x:v>10</x:v>
      </x:c>
      <x:c r="L82" s="7"/>
      <x:c r="M82" s="7" t="s">
        <x:v>11</x:v>
      </x:c>
      <x:c r="N82" s="7" t="s">
        <x:v>12</x:v>
      </x:c>
      <x:c r="O82" s="7" t="s">
        <x:v>6</x:v>
      </x:c>
      <x:c r="P82" s="7" t="s">
        <x:v>13</x:v>
      </x:c>
      <x:c r="Q82" s="7" t="s">
        <x:v>14</x:v>
      </x:c>
      <x:c r="R82" s="9" t="s">
        <x:v>15</x:v>
      </x:c>
      <x:c r="S82" s="9" t="s">
        <x:v>16</x:v>
      </x:c>
      <x:c r="T82"/>
    </x:row>
    <x:row r="83" ht="22.200000762939453" hidden="0">
      <x:c r="A83" s="10" t="s">
        <x:v>18</x:v>
      </x:c>
      <x:c r="B83" s="10" t="n">
        <x:v>440</x:v>
      </x:c>
      <x:c r="C83" s="10" t="n">
        <x:v>640</x:v>
      </x:c>
      <x:c r="D83" s="10" t="n">
        <x:v>18</x:v>
      </x:c>
      <x:c r="E83" s="10"/>
      <x:c r="F83" s="10" t="n">
        <x:v>6</x:v>
      </x:c>
      <x:c r="G83" s="10"/>
      <x:c r="H83" s="10" t="n">
        <x:v>69</x:v>
      </x:c>
      <x:c r="I83" s="11" t="n">
        <x:f aca="0">ROUND((IF((B83*C83)/90000&lt;1,1))+IF((B83*C83)/90000&gt;=1,(B83*C83)/90000),1.1)</x:f>
        <x:v>3.1</x:v>
      </x:c>
      <x:c r="J83" s="11" t="n">
        <x:f aca="0">SUM(F83*I83)</x:f>
        <x:v>18.6</x:v>
      </x:c>
      <x:c r="K83" s="11" t="n">
        <x:f aca="0">SUM(H83*J83)</x:f>
        <x:v>1283.4</x:v>
      </x:c>
      <x:c r="L83" s="11"/>
      <x:c r="M83" s="11" t="n">
        <x:f aca="0">SUM(C83-1)</x:f>
        <x:v>639</x:v>
      </x:c>
      <x:c r="N83" s="11" t="n">
        <x:f aca="0">SUM(B83-1)</x:f>
        <x:v>439</x:v>
      </x:c>
      <x:c r="O83" s="11" t="n">
        <x:f aca="0">SUM(F83*1)</x:f>
        <x:v>6</x:v>
      </x:c>
      <x:c r="P83" s="11"/>
      <x:c r="Q83" s="11" t="str">
        <x:f aca="0">A83</x:f>
        <x:v>側板</x:v>
      </x:c>
      <x:c r="R83" s="1" t="n">
        <x:f aca="0">SUM(B83*2+C83*2)*F83</x:f>
        <x:v>12960</x:v>
      </x:c>
      <x:c r="T83"/>
    </x:row>
    <x:row r="84" ht="22.200000762939453" hidden="0">
      <x:c r="A84" s="10" t="s">
        <x:v>18</x:v>
      </x:c>
      <x:c r="B84" s="10" t="n">
        <x:v>440</x:v>
      </x:c>
      <x:c r="C84" s="10" t="n">
        <x:v>2080</x:v>
      </x:c>
      <x:c r="D84" s="10" t="n">
        <x:v>18</x:v>
      </x:c>
      <x:c r="E84" s="10"/>
      <x:c r="F84" s="10" t="n">
        <x:v>2</x:v>
      </x:c>
      <x:c r="G84" s="10"/>
      <x:c r="H84" s="10" t="n">
        <x:v>69</x:v>
      </x:c>
      <x:c r="I84" s="11" t="n">
        <x:f aca="0">ROUND((IF((B84*C84)/90000&lt;1,1))+IF((B84*C84)/90000&gt;=1,(B84*C84)/90000),1.1)</x:f>
        <x:v>10.2</x:v>
      </x:c>
      <x:c r="J84" s="11" t="n">
        <x:f aca="0">SUM(F84*I84)</x:f>
        <x:v>20.4</x:v>
      </x:c>
      <x:c r="K84" s="11" t="n">
        <x:f aca="0">SUM(H84*J84)</x:f>
        <x:v>1407.6</x:v>
      </x:c>
      <x:c r="L84" s="11"/>
      <x:c r="M84" s="11" t="n">
        <x:f aca="0">SUM(C84-1)</x:f>
        <x:v>2079</x:v>
      </x:c>
      <x:c r="N84" s="11" t="n">
        <x:f aca="0">SUM(B84-1)</x:f>
        <x:v>439</x:v>
      </x:c>
      <x:c r="O84" s="11" t="n">
        <x:f aca="0">SUM(F84*1)</x:f>
        <x:v>2</x:v>
      </x:c>
      <x:c r="P84" s="11"/>
      <x:c r="Q84" s="11" t="str">
        <x:f aca="0">A84</x:f>
        <x:v>側板</x:v>
      </x:c>
      <x:c r="R84" s="1" t="n">
        <x:f aca="0">SUM(B84*2+C84*2)*F84</x:f>
        <x:v>10080</x:v>
      </x:c>
      <x:c r="T84"/>
    </x:row>
    <x:row r="85" ht="22.200000762939453" hidden="0">
      <x:c r="A85" s="10" t="s">
        <x:v>18</x:v>
      </x:c>
      <x:c r="B85" s="10"/>
      <x:c r="C85" s="10"/>
      <x:c r="D85" s="10" t="n">
        <x:v>18</x:v>
      </x:c>
      <x:c r="E85" s="10"/>
      <x:c r="F85" s="10"/>
      <x:c r="G85" s="10"/>
      <x:c r="H85" s="10" t="n">
        <x:v>69</x:v>
      </x:c>
      <x:c r="I85" s="11" t="n">
        <x:f aca="0">ROUND((IF((B85*C85)/90000&lt;1,1))+IF((B85*C85)/90000&gt;=1,(B85*C85)/90000),1.1)</x:f>
        <x:v>1</x:v>
      </x:c>
      <x:c r="J85" s="11" t="n">
        <x:f aca="0">SUM(F85*I85)</x:f>
        <x:v>0</x:v>
      </x:c>
      <x:c r="K85" s="11" t="n">
        <x:f aca="0">SUM(H85*J85)</x:f>
        <x:v>0</x:v>
      </x:c>
      <x:c r="L85" s="11"/>
      <x:c r="M85" s="11" t="n">
        <x:f aca="0">SUM(C85-1)</x:f>
        <x:v>-1</x:v>
      </x:c>
      <x:c r="N85" s="11" t="n">
        <x:f aca="0">SUM(B85-1)</x:f>
        <x:v>-1</x:v>
      </x:c>
      <x:c r="O85" s="11" t="n">
        <x:f aca="0">SUM(F85*1)</x:f>
        <x:v>0</x:v>
      </x:c>
      <x:c r="P85" s="11"/>
      <x:c r="Q85" s="11" t="str">
        <x:f aca="0">A85</x:f>
        <x:v>側板</x:v>
      </x:c>
      <x:c r="R85" s="1" t="n">
        <x:f aca="0">SUM(B85*2+C85*2)*F85</x:f>
        <x:v>0</x:v>
      </x:c>
      <x:c r="T85"/>
    </x:row>
    <x:row r="86" ht="22.200000762939453" hidden="0">
      <x:c r="A86" s="10" t="s">
        <x:v>19</x:v>
      </x:c>
      <x:c r="B86" s="10" t="n">
        <x:v>440</x:v>
      </x:c>
      <x:c r="C86" s="10" t="n">
        <x:v>614</x:v>
      </x:c>
      <x:c r="D86" s="10" t="n">
        <x:v>18</x:v>
      </x:c>
      <x:c r="E86" s="10"/>
      <x:c r="F86" s="10" t="n">
        <x:v>2</x:v>
      </x:c>
      <x:c r="G86" s="10"/>
      <x:c r="H86" s="10" t="n">
        <x:v>69</x:v>
      </x:c>
      <x:c r="I86" s="11" t="n">
        <x:f aca="0">ROUND((IF((B86*C86)/90000&lt;1,1))+IF((B86*C86)/90000&gt;=1,(B86*C86)/90000),1.1)</x:f>
        <x:v>3</x:v>
      </x:c>
      <x:c r="J86" s="11" t="n">
        <x:f aca="0">SUM(F86*I86)</x:f>
        <x:v>6</x:v>
      </x:c>
      <x:c r="K86" s="11" t="n">
        <x:f aca="0">SUM(H86*J86)</x:f>
        <x:v>414</x:v>
      </x:c>
      <x:c r="L86" s="11"/>
      <x:c r="M86" s="11" t="n">
        <x:f aca="0">SUM(C86)</x:f>
        <x:v>614</x:v>
      </x:c>
      <x:c r="N86" s="11" t="n">
        <x:f aca="0">SUM(B86-1)</x:f>
        <x:v>439</x:v>
      </x:c>
      <x:c r="O86" s="11" t="n">
        <x:f aca="0">SUM(F86*1)</x:f>
        <x:v>2</x:v>
      </x:c>
      <x:c r="P86" s="11"/>
      <x:c r="Q86" s="11" t="str">
        <x:f aca="0">A86</x:f>
        <x:v>頂底板</x:v>
      </x:c>
      <x:c r="R86" s="1" t="n">
        <x:f aca="0">SUM(C86*2)*F86</x:f>
        <x:v>2456</x:v>
      </x:c>
      <x:c r="T86"/>
    </x:row>
    <x:row r="87" ht="22.200000762939453" hidden="0">
      <x:c r="A87" s="10" t="s">
        <x:v>19</x:v>
      </x:c>
      <x:c r="B87" s="10" t="n">
        <x:v>440</x:v>
      </x:c>
      <x:c r="C87" s="10" t="n">
        <x:v>844</x:v>
      </x:c>
      <x:c r="D87" s="10" t="n">
        <x:v>18</x:v>
      </x:c>
      <x:c r="E87" s="10"/>
      <x:c r="F87" s="10" t="n">
        <x:v>10</x:v>
      </x:c>
      <x:c r="G87" s="10"/>
      <x:c r="H87" s="10" t="n">
        <x:v>69</x:v>
      </x:c>
      <x:c r="I87" s="11" t="n">
        <x:f aca="0">ROUND((IF((B87*C87)/90000&lt;1,1))+IF((B87*C87)/90000&gt;=1,(B87*C87)/90000),1.1)</x:f>
        <x:v>4.1</x:v>
      </x:c>
      <x:c r="J87" s="11" t="n">
        <x:f aca="0">SUM(F87*I87)</x:f>
        <x:v>41</x:v>
      </x:c>
      <x:c r="K87" s="11" t="n">
        <x:f aca="0">SUM(H87*J87)</x:f>
        <x:v>2829</x:v>
      </x:c>
      <x:c r="L87" s="11"/>
      <x:c r="M87" s="11" t="n">
        <x:f aca="0">SUM(C87)</x:f>
        <x:v>844</x:v>
      </x:c>
      <x:c r="N87" s="11" t="n">
        <x:f aca="0">SUM(B87-1)</x:f>
        <x:v>439</x:v>
      </x:c>
      <x:c r="O87" s="11" t="n">
        <x:f aca="0">SUM(F87*1)</x:f>
        <x:v>10</x:v>
      </x:c>
      <x:c r="P87" s="11"/>
      <x:c r="Q87" s="11" t="str">
        <x:f aca="0">A87</x:f>
        <x:v>頂底板</x:v>
      </x:c>
      <x:c r="R87" s="1" t="n">
        <x:f aca="0">SUM(C87*2)*F87</x:f>
        <x:v>16880</x:v>
      </x:c>
      <x:c r="T87"/>
    </x:row>
    <x:row r="88" ht="22.200000762939453" hidden="0">
      <x:c r="A88" s="10" t="s">
        <x:v>19</x:v>
      </x:c>
      <x:c r="B88" s="10"/>
      <x:c r="C88" s="10"/>
      <x:c r="D88" s="10" t="n">
        <x:v>18</x:v>
      </x:c>
      <x:c r="E88" s="10"/>
      <x:c r="F88" s="10"/>
      <x:c r="G88" s="10"/>
      <x:c r="H88" s="10" t="n">
        <x:v>69</x:v>
      </x:c>
      <x:c r="I88" s="11" t="n">
        <x:f aca="0">ROUND((IF((B88*C88)/90000&lt;1,1))+IF((B88*C88)/90000&gt;=1,(B88*C88)/90000),1.1)</x:f>
        <x:v>1</x:v>
      </x:c>
      <x:c r="J88" s="11" t="n">
        <x:f aca="0">SUM(F88*I88)</x:f>
        <x:v>0</x:v>
      </x:c>
      <x:c r="K88" s="11" t="n">
        <x:f aca="0">SUM(H88*J88)</x:f>
        <x:v>0</x:v>
      </x:c>
      <x:c r="L88" s="11"/>
      <x:c r="M88" s="11" t="n">
        <x:f aca="0">SUM(C88)</x:f>
        <x:v>0</x:v>
      </x:c>
      <x:c r="N88" s="11" t="n">
        <x:f aca="0">SUM(B88-1)</x:f>
        <x:v>-1</x:v>
      </x:c>
      <x:c r="O88" s="11" t="n">
        <x:f aca="0">SUM(F88*1)</x:f>
        <x:v>0</x:v>
      </x:c>
      <x:c r="P88" s="11"/>
      <x:c r="Q88" s="11" t="str">
        <x:f aca="0">A88</x:f>
        <x:v>頂底板</x:v>
      </x:c>
      <x:c r="R88" s="1" t="n">
        <x:f aca="0">SUM(C88*2)*F88</x:f>
        <x:v>0</x:v>
      </x:c>
      <x:c r="T88"/>
    </x:row>
    <x:row r="89" ht="22.200000762939453" hidden="0">
      <x:c r="A89" s="10" t="s">
        <x:v>20</x:v>
      </x:c>
      <x:c r="B89" s="10"/>
      <x:c r="C89" s="10"/>
      <x:c r="D89" s="10" t="n">
        <x:v>18</x:v>
      </x:c>
      <x:c r="E89" s="10"/>
      <x:c r="F89" s="10"/>
      <x:c r="G89" s="10"/>
      <x:c r="H89" s="10" t="n">
        <x:v>74</x:v>
      </x:c>
      <x:c r="I89" s="11" t="n">
        <x:f aca="0">ROUND((IF((B89*C89)/90000&lt;1,1))+IF((B89*C89)/90000&gt;=1,(B89*C89)/90000),1.1)</x:f>
        <x:v>1</x:v>
      </x:c>
      <x:c r="J89" s="11" t="n">
        <x:f aca="0">SUM(F89*I89)</x:f>
        <x:v>0</x:v>
      </x:c>
      <x:c r="K89" s="11" t="n">
        <x:f aca="0">SUM(H89*J89)</x:f>
        <x:v>0</x:v>
      </x:c>
      <x:c r="L89" s="11"/>
      <x:c r="M89" s="11" t="n">
        <x:f aca="0">SUM(C89)</x:f>
        <x:v>0</x:v>
      </x:c>
      <x:c r="N89" s="11" t="n">
        <x:f aca="0">SUM(B89-1)</x:f>
        <x:v>-1</x:v>
      </x:c>
      <x:c r="O89" s="11" t="n">
        <x:f aca="0">SUM(F89*1)</x:f>
        <x:v>0</x:v>
      </x:c>
      <x:c r="P89" s="11"/>
      <x:c r="Q89" s="11" t="str">
        <x:f aca="0">A89</x:f>
        <x:v>中立板</x:v>
      </x:c>
      <x:c r="R89" s="1" t="n">
        <x:f aca="0">SUM(C89*1)*F89</x:f>
        <x:v>0</x:v>
      </x:c>
      <x:c r="T89"/>
    </x:row>
    <x:row r="90" ht="22.200000762939453" hidden="0">
      <x:c r="A90" s="10" t="s">
        <x:v>20</x:v>
      </x:c>
      <x:c r="B90" s="10" t="n">
        <x:v>440</x:v>
      </x:c>
      <x:c r="C90" s="10" t="n">
        <x:v>2080</x:v>
      </x:c>
      <x:c r="D90" s="10" t="n">
        <x:v>18</x:v>
      </x:c>
      <x:c r="E90" s="10"/>
      <x:c r="F90" s="10" t="n">
        <x:v>2</x:v>
      </x:c>
      <x:c r="G90" s="10"/>
      <x:c r="H90" s="10" t="n">
        <x:v>74</x:v>
      </x:c>
      <x:c r="I90" s="11" t="n">
        <x:f aca="0">ROUND((IF((B90*C90)/90000&lt;1,1))+IF((B90*C90)/90000&gt;=1,(B90*C90)/90000),1.1)</x:f>
        <x:v>10.2</x:v>
      </x:c>
      <x:c r="J90" s="11" t="n">
        <x:f aca="0">SUM(F90*I90)</x:f>
        <x:v>20.4</x:v>
      </x:c>
      <x:c r="K90" s="11" t="n">
        <x:f aca="0">SUM(H90*J90)</x:f>
        <x:v>1509.6</x:v>
      </x:c>
      <x:c r="L90" s="11"/>
      <x:c r="M90" s="11" t="n">
        <x:f aca="0">SUM(C90)</x:f>
        <x:v>2080</x:v>
      </x:c>
      <x:c r="N90" s="11" t="n">
        <x:f aca="0">SUM(B90-1)</x:f>
        <x:v>439</x:v>
      </x:c>
      <x:c r="O90" s="11" t="n">
        <x:f aca="0">SUM(F90*1)</x:f>
        <x:v>2</x:v>
      </x:c>
      <x:c r="P90" s="11"/>
      <x:c r="Q90" s="11" t="str">
        <x:f aca="0">A90</x:f>
        <x:v>中立板</x:v>
      </x:c>
      <x:c r="R90" s="1" t="n">
        <x:f aca="0">SUM(C90*1)*F90</x:f>
        <x:v>4160</x:v>
      </x:c>
      <x:c r="T90"/>
    </x:row>
    <x:row r="91" ht="22.200000762939453" hidden="0">
      <x:c r="A91" s="10" t="s">
        <x:v>21</x:v>
      </x:c>
      <x:c r="B91" s="10" t="n">
        <x:v>411</x:v>
      </x:c>
      <x:c r="C91" s="10" t="n">
        <x:v>844</x:v>
      </x:c>
      <x:c r="D91" s="10" t="n">
        <x:v>18</x:v>
      </x:c>
      <x:c r="E91" s="10"/>
      <x:c r="F91" s="10" t="n">
        <x:v>2</x:v>
      </x:c>
      <x:c r="G91" s="10"/>
      <x:c r="H91" s="10" t="n">
        <x:v>69</x:v>
      </x:c>
      <x:c r="I91" s="11" t="n">
        <x:f aca="0">ROUND((IF((B91*C91)/90000&lt;1,1))+IF((B91*C91)/90000&gt;=1,(B91*C91)/90000),1.1)</x:f>
        <x:v>3.9</x:v>
      </x:c>
      <x:c r="J91" s="11" t="n">
        <x:f aca="0">SUM(F91*I91)</x:f>
        <x:v>7.8</x:v>
      </x:c>
      <x:c r="K91" s="11" t="n">
        <x:f aca="0">SUM(H91*J91)</x:f>
        <x:v>538.1999999999999</x:v>
      </x:c>
      <x:c r="L91" s="11"/>
      <x:c r="M91" s="11" t="n">
        <x:f aca="0">SUM(C91)</x:f>
        <x:v>844</x:v>
      </x:c>
      <x:c r="N91" s="11" t="n">
        <x:f aca="0">SUM(B91-1)</x:f>
        <x:v>410</x:v>
      </x:c>
      <x:c r="O91" s="11" t="n">
        <x:f aca="0">SUM(F91*1)</x:f>
        <x:v>2</x:v>
      </x:c>
      <x:c r="P91" s="11"/>
      <x:c r="Q91" s="11" t="str">
        <x:f aca="0">A91</x:f>
        <x:v>固格板</x:v>
      </x:c>
      <x:c r="R91" s="1" t="n">
        <x:f aca="0">SUM(C91*1)*F91</x:f>
        <x:v>1688</x:v>
      </x:c>
      <x:c r="T91"/>
    </x:row>
    <x:row r="92" ht="22.200000762939453" hidden="0">
      <x:c r="A92" s="10" t="s">
        <x:v>21</x:v>
      </x:c>
      <x:c r="B92" s="10"/>
      <x:c r="C92" s="10"/>
      <x:c r="D92" s="10" t="n">
        <x:v>18</x:v>
      </x:c>
      <x:c r="E92" s="10"/>
      <x:c r="F92" s="10"/>
      <x:c r="G92" s="10"/>
      <x:c r="H92" s="10" t="n">
        <x:v>69</x:v>
      </x:c>
      <x:c r="I92" s="11" t="n">
        <x:f aca="0">ROUND((IF((B92*C92)/90000&lt;1,1))+IF((B92*C92)/90000&gt;=1,(B92*C92)/90000),1.1)</x:f>
        <x:v>1</x:v>
      </x:c>
      <x:c r="J92" s="11" t="n">
        <x:f aca="0">SUM(F92*I92)</x:f>
        <x:v>0</x:v>
      </x:c>
      <x:c r="K92" s="11" t="n">
        <x:f aca="0">SUM(H92*J92)</x:f>
        <x:v>0</x:v>
      </x:c>
      <x:c r="L92" s="11"/>
      <x:c r="M92" s="11" t="n">
        <x:f aca="0">SUM(C92)</x:f>
        <x:v>0</x:v>
      </x:c>
      <x:c r="N92" s="11" t="n">
        <x:f aca="0">SUM(B92-1)</x:f>
        <x:v>-1</x:v>
      </x:c>
      <x:c r="O92" s="11" t="n">
        <x:f aca="0">SUM(F92*1)</x:f>
        <x:v>0</x:v>
      </x:c>
      <x:c r="P92" s="11"/>
      <x:c r="Q92" s="11" t="str">
        <x:f aca="0">A92</x:f>
        <x:v>固格板</x:v>
      </x:c>
      <x:c r="R92" s="1" t="n">
        <x:f aca="0">SUM(C92*1)*F92</x:f>
        <x:v>0</x:v>
      </x:c>
      <x:c r="T92"/>
    </x:row>
    <x:row r="93" ht="22.200000762939453" hidden="0">
      <x:c r="A93" s="10" t="s">
        <x:v>21</x:v>
      </x:c>
      <x:c r="B93" s="10"/>
      <x:c r="C93" s="10"/>
      <x:c r="D93" s="10" t="n">
        <x:v>18</x:v>
      </x:c>
      <x:c r="E93" s="10"/>
      <x:c r="F93" s="10"/>
      <x:c r="G93" s="10"/>
      <x:c r="H93" s="10" t="n">
        <x:v>69</x:v>
      </x:c>
      <x:c r="I93" s="11" t="n">
        <x:f aca="0">ROUND((IF((B93*C93)/90000&lt;1,1))+IF((B93*C93)/90000&gt;=1,(B93*C93)/90000),1.1)</x:f>
        <x:v>1</x:v>
      </x:c>
      <x:c r="J93" s="11" t="n">
        <x:f aca="0">SUM(F93*I93)</x:f>
        <x:v>0</x:v>
      </x:c>
      <x:c r="K93" s="11" t="n">
        <x:f aca="0">SUM(H93*J93)</x:f>
        <x:v>0</x:v>
      </x:c>
      <x:c r="L93" s="11"/>
      <x:c r="M93" s="11" t="n">
        <x:f aca="0">SUM(C93)</x:f>
        <x:v>0</x:v>
      </x:c>
      <x:c r="N93" s="11" t="n">
        <x:f aca="0">SUM(B93-1)</x:f>
        <x:v>-1</x:v>
      </x:c>
      <x:c r="O93" s="11" t="n">
        <x:f aca="0">SUM(F93*1)</x:f>
        <x:v>0</x:v>
      </x:c>
      <x:c r="P93" s="11"/>
      <x:c r="Q93" s="11" t="str">
        <x:f aca="0">A93</x:f>
        <x:v>固格板</x:v>
      </x:c>
      <x:c r="R93" s="1" t="n">
        <x:f aca="0">SUM(C93*1)*F93</x:f>
        <x:v>0</x:v>
      </x:c>
      <x:c r="T93"/>
    </x:row>
    <x:row r="94" ht="22.200000762939453" hidden="0">
      <x:c r="A94" s="10" t="s">
        <x:v>22</x:v>
      </x:c>
      <x:c r="B94" s="10"/>
      <x:c r="C94" s="10"/>
      <x:c r="D94" s="10" t="n">
        <x:v>18</x:v>
      </x:c>
      <x:c r="E94" s="10"/>
      <x:c r="F94" s="10"/>
      <x:c r="G94" s="10"/>
      <x:c r="H94" s="10" t="n">
        <x:v>69</x:v>
      </x:c>
      <x:c r="I94" s="11" t="n">
        <x:f aca="0">ROUND((IF((B94*C94)/90000&lt;1,1))+IF((B94*C94)/90000&gt;=1,(B94*C94)/90000),1.1)</x:f>
        <x:v>1</x:v>
      </x:c>
      <x:c r="J94" s="11" t="n">
        <x:f aca="0">SUM(F94*I94)</x:f>
        <x:v>0</x:v>
      </x:c>
      <x:c r="K94" s="11" t="n">
        <x:f aca="0">SUM(H94*J94)</x:f>
        <x:v>0</x:v>
      </x:c>
      <x:c r="L94" s="11"/>
      <x:c r="M94" s="11" t="n">
        <x:f aca="0">SUM(C94-1)</x:f>
        <x:v>-1</x:v>
      </x:c>
      <x:c r="N94" s="11" t="n">
        <x:f aca="0">SUM(B94-1)</x:f>
        <x:v>-1</x:v>
      </x:c>
      <x:c r="O94" s="11" t="n">
        <x:f aca="0">SUM(F94*1)</x:f>
        <x:v>0</x:v>
      </x:c>
      <x:c r="P94" s="11"/>
      <x:c r="Q94" s="11" t="str">
        <x:f aca="0">A94</x:f>
        <x:v>活格板</x:v>
      </x:c>
      <x:c r="R94" s="1" t="n">
        <x:f aca="0">SUM(B94*2+C94*2)*F94</x:f>
        <x:v>0</x:v>
      </x:c>
      <x:c r="T94"/>
    </x:row>
    <x:row r="95" ht="22.200000762939453" hidden="0">
      <x:c r="A95" s="10" t="s">
        <x:v>22</x:v>
      </x:c>
      <x:c r="B95" s="10"/>
      <x:c r="C95" s="10"/>
      <x:c r="D95" s="10" t="n">
        <x:v>18</x:v>
      </x:c>
      <x:c r="E95" s="10"/>
      <x:c r="F95" s="10"/>
      <x:c r="G95" s="10"/>
      <x:c r="H95" s="10" t="n">
        <x:v>69</x:v>
      </x:c>
      <x:c r="I95" s="11" t="n">
        <x:f aca="0">ROUND((IF((B95*C95)/90000&lt;1,1))+IF((B95*C95)/90000&gt;=1,(B95*C95)/90000),1.1)</x:f>
        <x:v>1</x:v>
      </x:c>
      <x:c r="J95" s="11" t="n">
        <x:f aca="0">SUM(F95*I95)</x:f>
        <x:v>0</x:v>
      </x:c>
      <x:c r="K95" s="11" t="n">
        <x:f aca="0">SUM(H95*J95)</x:f>
        <x:v>0</x:v>
      </x:c>
      <x:c r="L95" s="11"/>
      <x:c r="M95" s="11" t="n">
        <x:f aca="0">SUM(C95-1)</x:f>
        <x:v>-1</x:v>
      </x:c>
      <x:c r="N95" s="11" t="n">
        <x:f aca="0">SUM(B95-1)</x:f>
        <x:v>-1</x:v>
      </x:c>
      <x:c r="O95" s="11" t="n">
        <x:f aca="0">SUM(F95*1)</x:f>
        <x:v>0</x:v>
      </x:c>
      <x:c r="P95" s="11"/>
      <x:c r="Q95" s="11" t="str">
        <x:f aca="0">A95</x:f>
        <x:v>活格板</x:v>
      </x:c>
      <x:c r="R95" s="1" t="n">
        <x:f aca="0">SUM(B95*2+C95*2)*F95</x:f>
        <x:v>0</x:v>
      </x:c>
      <x:c r="T95"/>
    </x:row>
    <x:row r="96" ht="22.200000762939453" hidden="0">
      <x:c r="A96" s="10" t="s">
        <x:v>22</x:v>
      </x:c>
      <x:c r="B96" s="10"/>
      <x:c r="C96" s="10"/>
      <x:c r="D96" s="10" t="n">
        <x:v>18</x:v>
      </x:c>
      <x:c r="E96" s="10"/>
      <x:c r="F96" s="10"/>
      <x:c r="G96" s="10"/>
      <x:c r="H96" s="10" t="n">
        <x:v>69</x:v>
      </x:c>
      <x:c r="I96" s="11" t="n">
        <x:f aca="0">ROUND((IF((B96*C96)/90000&lt;1,1))+IF((B96*C96)/90000&gt;=1,(B96*C96)/90000),1.1)</x:f>
        <x:v>1</x:v>
      </x:c>
      <x:c r="J96" s="11" t="n">
        <x:f aca="0">SUM(F96*I96)</x:f>
        <x:v>0</x:v>
      </x:c>
      <x:c r="K96" s="11" t="n">
        <x:f aca="0">SUM(H96*J96)</x:f>
        <x:v>0</x:v>
      </x:c>
      <x:c r="L96" s="11"/>
      <x:c r="M96" s="11" t="n">
        <x:f aca="0">SUM(C96-1)</x:f>
        <x:v>-1</x:v>
      </x:c>
      <x:c r="N96" s="11" t="n">
        <x:f aca="0">SUM(B96-1)</x:f>
        <x:v>-1</x:v>
      </x:c>
      <x:c r="O96" s="11" t="n">
        <x:f aca="0">SUM(F96*1)</x:f>
        <x:v>0</x:v>
      </x:c>
      <x:c r="P96" s="11"/>
      <x:c r="Q96" s="11" t="str">
        <x:f aca="0">A96</x:f>
        <x:v>活格板</x:v>
      </x:c>
      <x:c r="R96" s="1" t="n">
        <x:f aca="0">SUM(B96*2+C96*2)*F96</x:f>
        <x:v>0</x:v>
      </x:c>
      <x:c r="T96"/>
    </x:row>
    <x:row r="97" ht="22.200000762939453" hidden="0">
      <x:c r="A97" s="10" t="s">
        <x:v>22</x:v>
      </x:c>
      <x:c r="B97" s="10"/>
      <x:c r="C97" s="10"/>
      <x:c r="D97" s="10" t="n">
        <x:v>18</x:v>
      </x:c>
      <x:c r="E97" s="10"/>
      <x:c r="F97" s="10"/>
      <x:c r="G97" s="10"/>
      <x:c r="H97" s="10" t="n">
        <x:v>69</x:v>
      </x:c>
      <x:c r="I97" s="11" t="n">
        <x:f aca="0">ROUND((IF((B97*C97)/90000&lt;1,1))+IF((B97*C97)/90000&gt;=1,(B97*C97)/90000),1.1)</x:f>
        <x:v>1</x:v>
      </x:c>
      <x:c r="J97" s="11" t="n">
        <x:f aca="0">SUM(F97*I97)</x:f>
        <x:v>0</x:v>
      </x:c>
      <x:c r="K97" s="11" t="n">
        <x:f aca="0">SUM(H97*J97)</x:f>
        <x:v>0</x:v>
      </x:c>
      <x:c r="L97" s="11"/>
      <x:c r="M97" s="11" t="n">
        <x:f aca="0">SUM(C97-1)</x:f>
        <x:v>-1</x:v>
      </x:c>
      <x:c r="N97" s="11" t="n">
        <x:f aca="0">SUM(B97-1)</x:f>
        <x:v>-1</x:v>
      </x:c>
      <x:c r="O97" s="11" t="n">
        <x:f aca="0">SUM(F97*1)</x:f>
        <x:v>0</x:v>
      </x:c>
      <x:c r="P97" s="11"/>
      <x:c r="Q97" s="11" t="str">
        <x:f aca="0">A97</x:f>
        <x:v>活格板</x:v>
      </x:c>
      <x:c r="R97" s="1" t="n">
        <x:f aca="0">SUM(B97*2+C97*2)*F97</x:f>
        <x:v>0</x:v>
      </x:c>
      <x:c r="T97"/>
    </x:row>
    <x:row r="98" ht="22.200000762939453" hidden="0">
      <x:c r="A98" s="10" t="s">
        <x:v>23</x:v>
      </x:c>
      <x:c r="B98" s="10"/>
      <x:c r="C98" s="10"/>
      <x:c r="D98" s="10" t="n">
        <x:v>18</x:v>
      </x:c>
      <x:c r="E98" s="10"/>
      <x:c r="F98" s="10"/>
      <x:c r="G98" s="10"/>
      <x:c r="H98" s="10" t="n">
        <x:v>69</x:v>
      </x:c>
      <x:c r="I98" s="11" t="n">
        <x:f aca="0">ROUND((IF((B98*C98)/90000&lt;1,1))+IF((B98*C98)/90000&gt;=1,(B98*C98)/90000),1.1)</x:f>
        <x:v>1</x:v>
      </x:c>
      <x:c r="J98" s="11" t="n">
        <x:f aca="0">SUM(F98*I98)</x:f>
        <x:v>0</x:v>
      </x:c>
      <x:c r="K98" s="11" t="n">
        <x:f aca="0">SUM(H98*J98)</x:f>
        <x:v>0</x:v>
      </x:c>
      <x:c r="L98" s="11"/>
      <x:c r="M98" s="11" t="n">
        <x:f aca="0">SUM(C98-1)</x:f>
        <x:v>-1</x:v>
      </x:c>
      <x:c r="N98" s="11" t="n">
        <x:f aca="0">SUM(B98-1)</x:f>
        <x:v>-1</x:v>
      </x:c>
      <x:c r="O98" s="11" t="n">
        <x:f aca="0">SUM(F98*1)</x:f>
        <x:v>0</x:v>
      </x:c>
      <x:c r="P98" s="11"/>
      <x:c r="Q98" s="11" t="str">
        <x:f aca="0">A98</x:f>
        <x:v>抽框</x:v>
      </x:c>
      <x:c r="R98" s="1" t="n">
        <x:f aca="0">SUM(B98*2+C98*2)*F98</x:f>
        <x:v>0</x:v>
      </x:c>
      <x:c r="T98"/>
    </x:row>
    <x:row r="99" ht="22.200000762939453" hidden="0">
      <x:c r="A99" s="10" t="s">
        <x:v>24</x:v>
      </x:c>
      <x:c r="B99" s="10"/>
      <x:c r="C99" s="10"/>
      <x:c r="D99" s="10" t="n">
        <x:v>18</x:v>
      </x:c>
      <x:c r="E99" s="10"/>
      <x:c r="F99" s="10"/>
      <x:c r="G99" s="10"/>
      <x:c r="H99" s="10" t="n">
        <x:v>69</x:v>
      </x:c>
      <x:c r="I99" s="11" t="n">
        <x:f aca="0">ROUND((IF((B99*C99)/90000&lt;1,1))+IF((B99*C99)/90000&gt;=1,(B99*C99)/90000),1.1)</x:f>
        <x:v>1</x:v>
      </x:c>
      <x:c r="J99" s="11" t="n">
        <x:f aca="0">SUM(F99*I99)</x:f>
        <x:v>0</x:v>
      </x:c>
      <x:c r="K99" s="11" t="n">
        <x:f aca="0">SUM(H99*J99)</x:f>
        <x:v>0</x:v>
      </x:c>
      <x:c r="L99" s="11"/>
      <x:c r="M99" s="11" t="n">
        <x:f aca="0">SUM(C99-1)</x:f>
        <x:v>-1</x:v>
      </x:c>
      <x:c r="N99" s="11" t="n">
        <x:f aca="0">SUM(B99-1)</x:f>
        <x:v>-1</x:v>
      </x:c>
      <x:c r="O99" s="11" t="n">
        <x:f aca="0">SUM(F99*1)</x:f>
        <x:v>0</x:v>
      </x:c>
      <x:c r="P99" s="11"/>
      <x:c r="Q99" s="11" t="str">
        <x:f aca="0">A99</x:f>
        <x:v>框中立</x:v>
      </x:c>
      <x:c r="R99" s="1" t="n">
        <x:f aca="0">SUM(B99*2+C99*2)*F99</x:f>
        <x:v>0</x:v>
      </x:c>
      <x:c r="T99"/>
    </x:row>
    <x:row r="100" ht="22.200000762939453" hidden="0">
      <x:c r="A100" s="10" t="s">
        <x:v>25</x:v>
      </x:c>
      <x:c r="B100" s="10"/>
      <x:c r="C100" s="10"/>
      <x:c r="D100" s="10" t="n">
        <x:v>18</x:v>
      </x:c>
      <x:c r="E100" s="10"/>
      <x:c r="F100" s="10"/>
      <x:c r="G100" s="10"/>
      <x:c r="H100" s="10" t="n">
        <x:v>69</x:v>
      </x:c>
      <x:c r="I100" s="11" t="n">
        <x:f aca="0">ROUND((IF((B100*C100)/90000&lt;1,1))+IF((B100*C100)/90000&gt;=1,(B100*C100)/90000),1.1)</x:f>
        <x:v>1</x:v>
      </x:c>
      <x:c r="J100" s="11" t="n">
        <x:f aca="0">SUM(F100*I100)</x:f>
        <x:v>0</x:v>
      </x:c>
      <x:c r="K100" s="11" t="n">
        <x:f aca="0">SUM(H100*J100)</x:f>
        <x:v>0</x:v>
      </x:c>
      <x:c r="L100" s="11"/>
      <x:c r="M100" s="11" t="n">
        <x:f aca="0">SUM(C100)</x:f>
        <x:v>0</x:v>
      </x:c>
      <x:c r="N100" s="11" t="n">
        <x:f aca="0">SUM(B100-1)</x:f>
        <x:v>-1</x:v>
      </x:c>
      <x:c r="O100" s="11" t="n">
        <x:f aca="0">SUM(F100*1)</x:f>
        <x:v>0</x:v>
      </x:c>
      <x:c r="P100" s="11"/>
      <x:c r="Q100" s="11" t="str">
        <x:f aca="0">A100</x:f>
        <x:v>橫木</x:v>
      </x:c>
      <x:c r="R100" s="1" t="n">
        <x:f aca="0">SUM(C100*2)*F100</x:f>
        <x:v>0</x:v>
      </x:c>
      <x:c r="T100"/>
    </x:row>
    <x:row r="101" ht="22.200000762939453" hidden="0">
      <x:c r="A101" s="10" t="s">
        <x:v>26</x:v>
      </x:c>
      <x:c r="B101" s="10"/>
      <x:c r="C101" s="10"/>
      <x:c r="D101" s="10" t="n">
        <x:v>18</x:v>
      </x:c>
      <x:c r="E101" s="10"/>
      <x:c r="F101" s="10"/>
      <x:c r="G101" s="10"/>
      <x:c r="H101" s="10" t="n">
        <x:v>69</x:v>
      </x:c>
      <x:c r="I101" s="11" t="n">
        <x:f aca="0">ROUND((IF((B101*C101)/90000&lt;1,1))+IF((B101*C101)/90000&gt;=1,(B101*C101)/90000),1.1)</x:f>
        <x:v>1</x:v>
      </x:c>
      <x:c r="J101" s="11" t="n">
        <x:f aca="0">SUM(F101*I101)</x:f>
        <x:v>0</x:v>
      </x:c>
      <x:c r="K101" s="11" t="n">
        <x:f aca="0">SUM(H101*J101)</x:f>
        <x:v>0</x:v>
      </x:c>
      <x:c r="L101" s="11"/>
      <x:c r="M101" s="11" t="n">
        <x:f aca="0">SUM(C101)</x:f>
        <x:v>0</x:v>
      </x:c>
      <x:c r="N101" s="11" t="n">
        <x:f aca="0">SUM(B101-1)</x:f>
        <x:v>-1</x:v>
      </x:c>
      <x:c r="O101" s="11" t="n">
        <x:f aca="0">SUM(F101*1)</x:f>
        <x:v>0</x:v>
      </x:c>
      <x:c r="P101" s="11"/>
      <x:c r="Q101" s="11" t="str">
        <x:f aca="0">A101</x:f>
        <x:v>前抽牆</x:v>
      </x:c>
      <x:c r="R101" s="1" t="n">
        <x:f aca="0">SUM(C101*2)*F101</x:f>
        <x:v>0</x:v>
      </x:c>
      <x:c r="T101"/>
    </x:row>
    <x:row r="102" ht="22.200000762939453" hidden="0">
      <x:c r="A102" s="10" t="s">
        <x:v>26</x:v>
      </x:c>
      <x:c r="B102" s="10"/>
      <x:c r="C102" s="10"/>
      <x:c r="D102" s="10" t="n">
        <x:v>18</x:v>
      </x:c>
      <x:c r="E102" s="10"/>
      <x:c r="F102" s="10"/>
      <x:c r="G102" s="10"/>
      <x:c r="H102" s="10" t="n">
        <x:v>69</x:v>
      </x:c>
      <x:c r="I102" s="11" t="n">
        <x:f aca="0">ROUND((IF((B102*C102)/90000&lt;1,1))+IF((B102*C102)/90000&gt;=1,(B102*C102)/90000),1.1)</x:f>
        <x:v>1</x:v>
      </x:c>
      <x:c r="J102" s="11" t="n">
        <x:f aca="0">SUM(F102*I102)</x:f>
        <x:v>0</x:v>
      </x:c>
      <x:c r="K102" s="11" t="n">
        <x:f aca="0">SUM(H102*J102)</x:f>
        <x:v>0</x:v>
      </x:c>
      <x:c r="L102" s="11"/>
      <x:c r="M102" s="11" t="n">
        <x:f aca="0">SUM(C102)</x:f>
        <x:v>0</x:v>
      </x:c>
      <x:c r="N102" s="11" t="n">
        <x:f aca="0">SUM(B102-1)</x:f>
        <x:v>-1</x:v>
      </x:c>
      <x:c r="O102" s="11" t="n">
        <x:f aca="0">SUM(F102*1)</x:f>
        <x:v>0</x:v>
      </x:c>
      <x:c r="P102" s="11"/>
      <x:c r="Q102" s="11" t="str">
        <x:f aca="0">A102</x:f>
        <x:v>前抽牆</x:v>
      </x:c>
      <x:c r="R102" s="1" t="n">
        <x:f aca="0">SUM(C102*2)*F102</x:f>
        <x:v>0</x:v>
      </x:c>
      <x:c r="T102"/>
    </x:row>
    <x:row r="103" ht="22.200000762939453" hidden="0">
      <x:c r="A103" s="10" t="s">
        <x:v>27</x:v>
      </x:c>
      <x:c r="B103" s="10"/>
      <x:c r="C103" s="10"/>
      <x:c r="D103" s="10" t="n">
        <x:v>18</x:v>
      </x:c>
      <x:c r="E103" s="10"/>
      <x:c r="F103" s="10"/>
      <x:c r="G103" s="10"/>
      <x:c r="H103" s="10" t="n">
        <x:v>69</x:v>
      </x:c>
      <x:c r="I103" s="11" t="n">
        <x:f aca="0">ROUND((IF((B103*C103)/90000&lt;1,1))+IF((B103*C103)/90000&gt;=1,(B103*C103)/90000),1.1)</x:f>
        <x:v>1</x:v>
      </x:c>
      <x:c r="J103" s="11" t="n">
        <x:f aca="0">SUM(F103*I103)</x:f>
        <x:v>0</x:v>
      </x:c>
      <x:c r="K103" s="11" t="n">
        <x:f aca="0">SUM(H103*J103)</x:f>
        <x:v>0</x:v>
      </x:c>
      <x:c r="L103" s="11"/>
      <x:c r="M103" s="11" t="n">
        <x:f aca="0">SUM(C103)</x:f>
        <x:v>0</x:v>
      </x:c>
      <x:c r="N103" s="11" t="n">
        <x:f aca="0">SUM(B103-1)</x:f>
        <x:v>-1</x:v>
      </x:c>
      <x:c r="O103" s="11" t="n">
        <x:f aca="0">SUM(F103*1)</x:f>
        <x:v>0</x:v>
      </x:c>
      <x:c r="P103" s="11"/>
      <x:c r="Q103" s="11" t="str">
        <x:f aca="0">A103</x:f>
        <x:v>邊抽牆</x:v>
      </x:c>
      <x:c r="R103" s="1" t="n">
        <x:f aca="0">SUM(C103*2)*F103</x:f>
        <x:v>0</x:v>
      </x:c>
      <x:c r="T103"/>
    </x:row>
    <x:row r="104" ht="22.200000762939453" hidden="0">
      <x:c r="A104" s="10" t="s">
        <x:v>27</x:v>
      </x:c>
      <x:c r="B104" s="10"/>
      <x:c r="C104" s="10"/>
      <x:c r="D104" s="10" t="n">
        <x:v>18</x:v>
      </x:c>
      <x:c r="E104" s="10"/>
      <x:c r="F104" s="10"/>
      <x:c r="G104" s="10"/>
      <x:c r="H104" s="10" t="n">
        <x:v>69</x:v>
      </x:c>
      <x:c r="I104" s="11" t="n">
        <x:f aca="0">ROUND((IF((B104*C104)/90000&lt;1,1))+IF((B104*C104)/90000&gt;=1,(B104*C104)/90000),1.1)</x:f>
        <x:v>1</x:v>
      </x:c>
      <x:c r="J104" s="11" t="n">
        <x:f aca="0">SUM(F104*I104)</x:f>
        <x:v>0</x:v>
      </x:c>
      <x:c r="K104" s="11" t="n">
        <x:f aca="0">SUM(H104*J104)</x:f>
        <x:v>0</x:v>
      </x:c>
      <x:c r="L104" s="11"/>
      <x:c r="M104" s="11" t="n">
        <x:f aca="0">SUM(C104)</x:f>
        <x:v>0</x:v>
      </x:c>
      <x:c r="N104" s="11" t="n">
        <x:f aca="0">SUM(B104-1)</x:f>
        <x:v>-1</x:v>
      </x:c>
      <x:c r="O104" s="11" t="n">
        <x:f aca="0">SUM(F104*1)</x:f>
        <x:v>0</x:v>
      </x:c>
      <x:c r="P104" s="11"/>
      <x:c r="Q104" s="11" t="str">
        <x:f aca="0">A104</x:f>
        <x:v>邊抽牆</x:v>
      </x:c>
      <x:c r="R104" s="1" t="n">
        <x:f aca="0">SUM(C104*2)*F104</x:f>
        <x:v>0</x:v>
      </x:c>
      <x:c r="T104"/>
    </x:row>
    <x:row r="105" ht="22.200000762939453" hidden="0">
      <x:c r="A105" s="10" t="s">
        <x:v>28</x:v>
      </x:c>
      <x:c r="B105" s="10"/>
      <x:c r="C105" s="10"/>
      <x:c r="D105" s="10" t="n">
        <x:v>8</x:v>
      </x:c>
      <x:c r="E105" s="10"/>
      <x:c r="F105" s="10"/>
      <x:c r="G105" s="10"/>
      <x:c r="H105" s="10" t="n">
        <x:v>50</x:v>
      </x:c>
      <x:c r="I105" s="11" t="n">
        <x:f aca="0">ROUND((IF((B105*C105)/90000&lt;1,1))+IF((B105*C105)/90000&gt;=1,(B105*C105)/90000),1.1)</x:f>
        <x:v>1</x:v>
      </x:c>
      <x:c r="J105" s="11" t="n">
        <x:f aca="0">SUM(F105*I105)</x:f>
        <x:v>0</x:v>
      </x:c>
      <x:c r="K105" s="11" t="n">
        <x:f aca="0">SUM(H105*J105)</x:f>
        <x:v>0</x:v>
      </x:c>
      <x:c r="L105" s="11"/>
      <x:c r="M105" s="11" t="n">
        <x:f aca="0">SUM(C105)</x:f>
        <x:v>0</x:v>
      </x:c>
      <x:c r="N105" s="11" t="n">
        <x:f aca="0">SUM(B105)</x:f>
        <x:v>0</x:v>
      </x:c>
      <x:c r="O105" s="11" t="n">
        <x:f aca="0">SUM(F105*1)</x:f>
        <x:v>0</x:v>
      </x:c>
      <x:c r="P105" s="11"/>
      <x:c r="Q105" s="11" t="str">
        <x:f aca="0">A105</x:f>
        <x:v>抽底板</x:v>
      </x:c>
      <x:c r="T105"/>
    </x:row>
    <x:row r="106" ht="22.200000762939453" hidden="0">
      <x:c r="A106" s="10" t="s">
        <x:v>28</x:v>
      </x:c>
      <x:c r="B106" s="10"/>
      <x:c r="C106" s="10"/>
      <x:c r="D106" s="10" t="n">
        <x:v>8</x:v>
      </x:c>
      <x:c r="E106" s="10"/>
      <x:c r="F106" s="10"/>
      <x:c r="G106" s="10"/>
      <x:c r="H106" s="10" t="n">
        <x:v>50</x:v>
      </x:c>
      <x:c r="I106" s="11" t="n">
        <x:f aca="0">ROUND((IF((B106*C106)/90000&lt;1,1))+IF((B106*C106)/90000&gt;=1,(B106*C106)/90000),1.1)</x:f>
        <x:v>1</x:v>
      </x:c>
      <x:c r="J106" s="11" t="n">
        <x:f aca="0">SUM(F106*I106)</x:f>
        <x:v>0</x:v>
      </x:c>
      <x:c r="K106" s="11" t="n">
        <x:f aca="0">SUM(H106*J106)</x:f>
        <x:v>0</x:v>
      </x:c>
      <x:c r="L106" s="11"/>
      <x:c r="M106" s="11" t="n">
        <x:f aca="0">SUM(C106)</x:f>
        <x:v>0</x:v>
      </x:c>
      <x:c r="N106" s="11" t="n">
        <x:f aca="0">SUM(B106)</x:f>
        <x:v>0</x:v>
      </x:c>
      <x:c r="O106" s="11" t="n">
        <x:f aca="0">SUM(F106*1)</x:f>
        <x:v>0</x:v>
      </x:c>
      <x:c r="P106" s="11"/>
      <x:c r="Q106" s="11" t="str">
        <x:f aca="0">A106</x:f>
        <x:v>抽底板</x:v>
      </x:c>
      <x:c r="T106"/>
    </x:row>
    <x:row r="107" ht="22.200000762939453" hidden="0">
      <x:c r="A107" s="12" t="s">
        <x:v>29</x:v>
      </x:c>
      <x:c r="B107" s="10" t="n">
        <x:v>437</x:v>
      </x:c>
      <x:c r="C107" s="10" t="n">
        <x:v>2076</x:v>
      </x:c>
      <x:c r="D107" s="10" t="n">
        <x:v>18</x:v>
      </x:c>
      <x:c r="E107" s="10"/>
      <x:c r="F107" s="10" t="n">
        <x:v>6</x:v>
      </x:c>
      <x:c r="G107" s="10"/>
      <x:c r="H107" s="10" t="n">
        <x:v>84</x:v>
      </x:c>
      <x:c r="I107" s="11" t="n">
        <x:f aca="0">ROUND((IF((B107*C107)/90000&lt;1,1))+IF((B107*C107)/90000&gt;=1,(B107*C107)/90000),1.1)</x:f>
        <x:v>10.1</x:v>
      </x:c>
      <x:c r="J107" s="11" t="n">
        <x:f aca="0">SUM(F107*I107)</x:f>
        <x:v>60.599999999999994</x:v>
      </x:c>
      <x:c r="K107" s="11" t="n">
        <x:f aca="0">SUM(H107*J107)</x:f>
        <x:v>5090.4</x:v>
      </x:c>
      <x:c r="L107" s="11" t="str">
        <x:v>右開J把×3</x:v>
      </x:c>
      <x:c r="M107" s="11" t="n">
        <x:f aca="0">SUM(C107-2)</x:f>
        <x:v>2074</x:v>
      </x:c>
      <x:c r="N107" s="11" t="n">
        <x:f aca="0">SUM(B107-2)</x:f>
        <x:v>435</x:v>
      </x:c>
      <x:c r="O107" s="11" t="n">
        <x:f aca="0">SUM(F107*1)</x:f>
        <x:v>6</x:v>
      </x:c>
      <x:c r="P107" s="11"/>
      <x:c r="Q107" s="11" t="str">
        <x:f aca="0">A107</x:f>
        <x:v>4E門板</x:v>
      </x:c>
      <x:c r="S107" s="1" t="n">
        <x:f aca="0">SUM(B107*2+C107*2)*F107</x:f>
        <x:v>30156</x:v>
      </x:c>
      <x:c r="T107"/>
    </x:row>
    <x:row r="108" ht="22.200000762939453" hidden="0">
      <x:c r="A108" s="12" t="s">
        <x:v>29</x:v>
      </x:c>
      <x:c r="B108" s="10" t="n">
        <x:v>647</x:v>
      </x:c>
      <x:c r="C108" s="10" t="n">
        <x:v>636</x:v>
      </x:c>
      <x:c r="D108" s="10" t="n">
        <x:v>18</x:v>
      </x:c>
      <x:c r="E108" s="10"/>
      <x:c r="F108" s="10" t="n">
        <x:v>1</x:v>
      </x:c>
      <x:c r="G108" s="10"/>
      <x:c r="H108" s="10" t="n">
        <x:v>84</x:v>
      </x:c>
      <x:c r="I108" s="11" t="n">
        <x:f aca="0">ROUND((IF((B108*C108)/90000&lt;1,1))+IF((B108*C108)/90000&gt;=1,(B108*C108)/90000),1.1)</x:f>
        <x:v>4.6</x:v>
      </x:c>
      <x:c r="J108" s="11" t="n">
        <x:f aca="0">SUM(F108*I108)</x:f>
        <x:v>4.6</x:v>
      </x:c>
      <x:c r="K108" s="11" t="n">
        <x:f aca="0">SUM(H108*J108)</x:f>
        <x:v>386.4</x:v>
      </x:c>
      <x:c r="L108" s="11"/>
      <x:c r="M108" s="11" t="n">
        <x:f aca="0">SUM(C108-2)</x:f>
        <x:v>634</x:v>
      </x:c>
      <x:c r="N108" s="11" t="n">
        <x:f aca="0">SUM(B108-2)</x:f>
        <x:v>645</x:v>
      </x:c>
      <x:c r="O108" s="11" t="n">
        <x:f aca="0">SUM(F108*1)</x:f>
        <x:v>1</x:v>
      </x:c>
      <x:c r="P108" s="11"/>
      <x:c r="Q108" s="11" t="str">
        <x:f aca="0">A108</x:f>
        <x:v>4E門板</x:v>
      </x:c>
      <x:c r="S108" s="1" t="n">
        <x:f aca="0">SUM(B108*2+C108*2)*F108</x:f>
        <x:v>2566</x:v>
      </x:c>
      <x:c r="T108"/>
    </x:row>
    <x:row r="109" ht="22.200000762939453" hidden="0">
      <x:c r="A109" s="12" t="s">
        <x:v>29</x:v>
      </x:c>
      <x:c r="B109" s="10" t="n">
        <x:v>437</x:v>
      </x:c>
      <x:c r="C109" s="10" t="n">
        <x:v>636</x:v>
      </x:c>
      <x:c r="D109" s="10" t="n">
        <x:v>18</x:v>
      </x:c>
      <x:c r="E109" s="10"/>
      <x:c r="F109" s="10" t="n">
        <x:v>4</x:v>
      </x:c>
      <x:c r="G109" s="10"/>
      <x:c r="H109" s="10" t="n">
        <x:v>84</x:v>
      </x:c>
      <x:c r="I109" s="11" t="n">
        <x:f aca="0">ROUND((IF((B109*C109)/90000&lt;1,1))+IF((B109*C109)/90000&gt;=1,(B109*C109)/90000),1.1)</x:f>
        <x:v>3.1</x:v>
      </x:c>
      <x:c r="J109" s="11" t="n">
        <x:f aca="0">SUM(F109*I109)</x:f>
        <x:v>12.4</x:v>
      </x:c>
      <x:c r="K109" s="11" t="n">
        <x:f aca="0">SUM(H109*J109)</x:f>
        <x:v>1041.6000000000001</x:v>
      </x:c>
      <x:c r="L109" s="11"/>
      <x:c r="M109" s="11" t="n">
        <x:f aca="0">SUM(C109-2)</x:f>
        <x:v>634</x:v>
      </x:c>
      <x:c r="N109" s="11" t="n">
        <x:f aca="0">SUM(B109-2)</x:f>
        <x:v>435</x:v>
      </x:c>
      <x:c r="O109" s="11" t="n">
        <x:f aca="0">SUM(F109*1)</x:f>
        <x:v>4</x:v>
      </x:c>
      <x:c r="P109" s="11"/>
      <x:c r="Q109" s="11" t="str">
        <x:f aca="0">A109</x:f>
        <x:v>4E門板</x:v>
      </x:c>
      <x:c r="S109" s="1" t="n">
        <x:f aca="0">SUM(B109*2+C109*2)*F109</x:f>
        <x:v>8584</x:v>
      </x:c>
      <x:c r="T109"/>
    </x:row>
    <x:row r="110" ht="22.200000762939453" hidden="0">
      <x:c r="A110" s="10" t="s">
        <x:v>30</x:v>
      </x:c>
      <x:c r="B110" s="10"/>
      <x:c r="C110" s="10"/>
      <x:c r="D110" s="10" t="n">
        <x:v>18</x:v>
      </x:c>
      <x:c r="E110" s="10"/>
      <x:c r="F110" s="10"/>
      <x:c r="G110" s="10"/>
      <x:c r="H110" s="10" t="n">
        <x:v>84</x:v>
      </x:c>
      <x:c r="I110" s="11" t="n">
        <x:f aca="0">ROUND((IF((B110*C110)/90000&lt;1,1))+IF((B110*C110)/90000&gt;=1,(B110*C110)/90000),1.1)</x:f>
        <x:v>1</x:v>
      </x:c>
      <x:c r="J110" s="11" t="n">
        <x:f aca="0">SUM(F110*I110)</x:f>
        <x:v>0</x:v>
      </x:c>
      <x:c r="K110" s="11" t="n">
        <x:f aca="0">SUM(H110*J110)</x:f>
        <x:v>0</x:v>
      </x:c>
      <x:c r="L110" s="11"/>
      <x:c r="M110" s="11" t="n">
        <x:f aca="0">SUM(C110-2)</x:f>
        <x:v>-2</x:v>
      </x:c>
      <x:c r="N110" s="11" t="n">
        <x:f aca="0">SUM(B110-2)</x:f>
        <x:v>-2</x:v>
      </x:c>
      <x:c r="O110" s="11" t="n">
        <x:f aca="0">SUM(F110*1)</x:f>
        <x:v>0</x:v>
      </x:c>
      <x:c r="P110" s="11"/>
      <x:c r="Q110" s="11" t="str">
        <x:f aca="0">A110</x:f>
        <x:v>假門板</x:v>
      </x:c>
      <x:c r="S110" s="1" t="n">
        <x:f aca="0">SUM(B110*2+C110*2)*F110</x:f>
        <x:v>0</x:v>
      </x:c>
      <x:c r="T110"/>
    </x:row>
    <x:row r="111" ht="22.200000762939453" hidden="0">
      <x:c r="A111" s="10" t="s">
        <x:v>31</x:v>
      </x:c>
      <x:c r="B111" s="10"/>
      <x:c r="C111" s="10"/>
      <x:c r="D111" s="10" t="n">
        <x:v>18</x:v>
      </x:c>
      <x:c r="E111" s="10"/>
      <x:c r="F111" s="10"/>
      <x:c r="G111" s="10"/>
      <x:c r="H111" s="10" t="n">
        <x:v>84</x:v>
      </x:c>
      <x:c r="I111" s="11" t="n">
        <x:f aca="0">ROUND((IF((B111*C111)/90000&lt;1,1))+IF((B111*C111)/90000&gt;=1,(B111*C111)/90000),1.1)</x:f>
        <x:v>1</x:v>
      </x:c>
      <x:c r="J111" s="11" t="n">
        <x:f aca="0">SUM(F111*I111)</x:f>
        <x:v>0</x:v>
      </x:c>
      <x:c r="K111" s="11" t="n">
        <x:f aca="0">SUM(H111*J111)</x:f>
        <x:v>0</x:v>
      </x:c>
      <x:c r="L111" s="11"/>
      <x:c r="M111" s="11" t="n">
        <x:f aca="0">SUM(C111-2)</x:f>
        <x:v>-2</x:v>
      </x:c>
      <x:c r="N111" s="11" t="n">
        <x:f aca="0">SUM(B111-2)</x:f>
        <x:v>-2</x:v>
      </x:c>
      <x:c r="O111" s="11" t="n">
        <x:f aca="0">SUM(F111*1)</x:f>
        <x:v>0</x:v>
      </x:c>
      <x:c r="P111" s="11"/>
      <x:c r="Q111" s="11" t="str">
        <x:f aca="0">A111</x:f>
        <x:v>屜頭</x:v>
      </x:c>
      <x:c r="S111" s="1" t="n">
        <x:f aca="0">SUM(B111*2+C111*2)*F111</x:f>
        <x:v>0</x:v>
      </x:c>
      <x:c r="T111"/>
    </x:row>
    <x:row r="112" ht="22.200000762939453" hidden="0">
      <x:c r="A112" s="10" t="s">
        <x:v>32</x:v>
      </x:c>
      <x:c r="B112" s="10"/>
      <x:c r="C112" s="10"/>
      <x:c r="D112" s="10" t="n">
        <x:v>18</x:v>
      </x:c>
      <x:c r="E112" s="10"/>
      <x:c r="F112" s="10"/>
      <x:c r="G112" s="10"/>
      <x:c r="H112" s="10" t="n">
        <x:v>74</x:v>
      </x:c>
      <x:c r="I112" s="11" t="n">
        <x:f aca="0">ROUND((IF((B112*C112)/90000&lt;1,1))+IF((B112*C112)/90000&gt;=1,(B112*C112)/90000),1.1)</x:f>
        <x:v>1</x:v>
      </x:c>
      <x:c r="J112" s="11" t="n">
        <x:f aca="0">SUM(F112*I112)</x:f>
        <x:v>0</x:v>
      </x:c>
      <x:c r="K112" s="11" t="n">
        <x:f aca="0">SUM(H112*J112)</x:f>
        <x:v>0</x:v>
      </x:c>
      <x:c r="L112" s="11"/>
      <x:c r="M112" s="11" t="n">
        <x:f aca="0">SUM(C112-1)</x:f>
        <x:v>-1</x:v>
      </x:c>
      <x:c r="N112" s="11" t="n">
        <x:f aca="0">SUM(B112)</x:f>
        <x:v>0</x:v>
      </x:c>
      <x:c r="O112" s="11" t="n">
        <x:f aca="0">SUM(F112*1)</x:f>
        <x:v>0</x:v>
      </x:c>
      <x:c r="P112" s="11"/>
      <x:c r="Q112" s="11" t="str">
        <x:f aca="0">A112</x:f>
        <x:v>推門</x:v>
      </x:c>
      <x:c r="R112" s="1" t="n">
        <x:f aca="0">SUM(B112*2+C112*2)*F112</x:f>
        <x:v>0</x:v>
      </x:c>
      <x:c r="T112"/>
    </x:row>
    <x:row r="113" ht="22.200000762939453" hidden="0">
      <x:c r="A113" s="10" t="s">
        <x:v>33</x:v>
      </x:c>
      <x:c r="B113" s="10"/>
      <x:c r="C113" s="10"/>
      <x:c r="D113" s="10" t="n">
        <x:v>18</x:v>
      </x:c>
      <x:c r="E113" s="10"/>
      <x:c r="F113" s="10"/>
      <x:c r="G113" s="10"/>
      <x:c r="H113" s="10" t="n">
        <x:v>74</x:v>
      </x:c>
      <x:c r="I113" s="11" t="n">
        <x:f aca="0">ROUND((IF((B113*C113)/90000&lt;1,1))+IF((B113*C113)/90000&gt;=1,(B113*C113)/90000),1.1)</x:f>
        <x:v>1</x:v>
      </x:c>
      <x:c r="J113" s="11" t="n">
        <x:f aca="0">SUM(F113*I113)</x:f>
        <x:v>0</x:v>
      </x:c>
      <x:c r="K113" s="11" t="n">
        <x:f aca="0">SUM(H113*J113)</x:f>
        <x:v>0</x:v>
      </x:c>
      <x:c r="L113" s="11"/>
      <x:c r="M113" s="11" t="n">
        <x:f aca="0">SUM(C113)</x:f>
        <x:v>0</x:v>
      </x:c>
      <x:c r="N113" s="11" t="n">
        <x:f aca="0">SUM(B113-1)</x:f>
        <x:v>-1</x:v>
      </x:c>
      <x:c r="O113" s="11" t="n">
        <x:f aca="0">SUM(F113*1)</x:f>
        <x:v>0</x:v>
      </x:c>
      <x:c r="P113" s="11"/>
      <x:c r="Q113" s="11" t="str">
        <x:f aca="0">A113</x:f>
        <x:v>側封板</x:v>
      </x:c>
      <x:c r="R113" s="1" t="n">
        <x:f aca="0">SUM(+C113*1)*F113</x:f>
        <x:v>0</x:v>
      </x:c>
      <x:c r="S113" s="1" t="n">
        <x:f aca="0">SUM(C113*1)*F113</x:f>
        <x:v>0</x:v>
      </x:c>
      <x:c r="T113"/>
    </x:row>
    <x:row r="114" ht="22.200000762939453" hidden="0">
      <x:c r="A114" s="10" t="s">
        <x:v>33</x:v>
      </x:c>
      <x:c r="B114" s="10"/>
      <x:c r="C114" s="10"/>
      <x:c r="D114" s="10" t="n">
        <x:v>18</x:v>
      </x:c>
      <x:c r="E114" s="10"/>
      <x:c r="F114" s="10"/>
      <x:c r="G114" s="10"/>
      <x:c r="H114" s="10" t="n">
        <x:v>74</x:v>
      </x:c>
      <x:c r="I114" s="11" t="n">
        <x:f aca="0">ROUND((IF((B114*C114)/90000&lt;1,1))+IF((B114*C114)/90000&gt;=1,(B114*C114)/90000),1.1)</x:f>
        <x:v>1</x:v>
      </x:c>
      <x:c r="J114" s="11" t="n">
        <x:f aca="0">SUM(F114*I114)</x:f>
        <x:v>0</x:v>
      </x:c>
      <x:c r="K114" s="11" t="n">
        <x:f aca="0">SUM(H114*J114)</x:f>
        <x:v>0</x:v>
      </x:c>
      <x:c r="L114" s="11"/>
      <x:c r="M114" s="11" t="n">
        <x:f aca="0">SUM(C114)</x:f>
        <x:v>0</x:v>
      </x:c>
      <x:c r="N114" s="11" t="n">
        <x:f aca="0">SUM(B114-1)</x:f>
        <x:v>-1</x:v>
      </x:c>
      <x:c r="O114" s="11" t="n">
        <x:f aca="0">SUM(F114*1)</x:f>
        <x:v>0</x:v>
      </x:c>
      <x:c r="P114" s="11"/>
      <x:c r="Q114" s="11" t="str">
        <x:f aca="0">A114</x:f>
        <x:v>側封板</x:v>
      </x:c>
      <x:c r="R114" s="1" t="n">
        <x:f aca="0">SUM(+C114*1)*F114</x:f>
        <x:v>0</x:v>
      </x:c>
      <x:c r="S114" s="1" t="n">
        <x:f aca="0">SUM(C114*1)*F114</x:f>
        <x:v>0</x:v>
      </x:c>
      <x:c r="T114"/>
    </x:row>
    <x:row r="115" ht="22.200000762939453" hidden="0">
      <x:c r="A115" s="10" t="s">
        <x:v>34</x:v>
      </x:c>
      <x:c r="B115" s="10"/>
      <x:c r="C115" s="10"/>
      <x:c r="D115" s="10" t="n">
        <x:v>18</x:v>
      </x:c>
      <x:c r="E115" s="10"/>
      <x:c r="F115" s="10"/>
      <x:c r="G115" s="10"/>
      <x:c r="H115" s="10" t="n">
        <x:v>74</x:v>
      </x:c>
      <x:c r="I115" s="11" t="n">
        <x:f aca="0">ROUND((IF((B115*C115)/90000&lt;1,1))+IF((B115*C115)/90000&gt;=1,(B115*C115)/90000),1.1)</x:f>
        <x:v>1</x:v>
      </x:c>
      <x:c r="J115" s="11" t="n">
        <x:f aca="0">SUM(F115*I115)</x:f>
        <x:v>0</x:v>
      </x:c>
      <x:c r="K115" s="11" t="n">
        <x:f aca="0">SUM(H115*J115)</x:f>
        <x:v>0</x:v>
      </x:c>
      <x:c r="L115" s="11"/>
      <x:c r="M115" s="11" t="n">
        <x:f aca="0">SUM(C115)</x:f>
        <x:v>0</x:v>
      </x:c>
      <x:c r="N115" s="11" t="n">
        <x:f aca="0">SUM(B115-1)</x:f>
        <x:v>-1</x:v>
      </x:c>
      <x:c r="O115" s="11" t="n">
        <x:f aca="0">SUM(F115*1)</x:f>
        <x:v>0</x:v>
      </x:c>
      <x:c r="P115" s="11"/>
      <x:c r="Q115" s="11" t="str">
        <x:f aca="0">A115</x:f>
        <x:v>軌道板</x:v>
      </x:c>
      <x:c r="R115" s="1" t="n">
        <x:f aca="0">SUM(+C115*1)*F115</x:f>
        <x:v>0</x:v>
      </x:c>
      <x:c r="S115" s="1" t="n">
        <x:f aca="0">SUM(C115*1)*F115</x:f>
        <x:v>0</x:v>
      </x:c>
      <x:c r="T115"/>
    </x:row>
    <x:row r="116" ht="22.200000762939453" hidden="0">
      <x:c r="A116" s="10" t="s">
        <x:v>34</x:v>
      </x:c>
      <x:c r="B116" s="10"/>
      <x:c r="C116" s="10"/>
      <x:c r="D116" s="10" t="n">
        <x:v>18</x:v>
      </x:c>
      <x:c r="E116" s="10"/>
      <x:c r="F116" s="10"/>
      <x:c r="G116" s="10"/>
      <x:c r="H116" s="10" t="n">
        <x:v>74</x:v>
      </x:c>
      <x:c r="I116" s="11" t="n">
        <x:f aca="0">ROUND((IF((B116*C116)/90000&lt;1,1))+IF((B116*C116)/90000&gt;=1,(B116*C116)/90000),1.1)</x:f>
        <x:v>1</x:v>
      </x:c>
      <x:c r="J116" s="11" t="n">
        <x:f aca="0">SUM(F116*I116)</x:f>
        <x:v>0</x:v>
      </x:c>
      <x:c r="K116" s="11" t="n">
        <x:f aca="0">SUM(H116*J116)</x:f>
        <x:v>0</x:v>
      </x:c>
      <x:c r="L116" s="11"/>
      <x:c r="M116" s="11" t="n">
        <x:f aca="0">SUM(C116)</x:f>
        <x:v>0</x:v>
      </x:c>
      <x:c r="N116" s="11" t="n">
        <x:f aca="0">SUM(B116-1)</x:f>
        <x:v>-1</x:v>
      </x:c>
      <x:c r="O116" s="11" t="n">
        <x:f aca="0">SUM(F116*1)</x:f>
        <x:v>0</x:v>
      </x:c>
      <x:c r="P116" s="11"/>
      <x:c r="Q116" s="11" t="str">
        <x:f aca="0">A116</x:f>
        <x:v>軌道板</x:v>
      </x:c>
      <x:c r="R116" s="1" t="n">
        <x:f aca="0">SUM(+C116*1)*F116</x:f>
        <x:v>0</x:v>
      </x:c>
      <x:c r="S116" s="1" t="n">
        <x:f aca="0">SUM(C116*1)*F116</x:f>
        <x:v>0</x:v>
      </x:c>
      <x:c r="T116"/>
    </x:row>
    <x:row r="117" ht="22.200000762939453" hidden="0">
      <x:c r="A117" s="10" t="s">
        <x:v>35</x:v>
      </x:c>
      <x:c r="B117" s="10"/>
      <x:c r="C117" s="10"/>
      <x:c r="D117" s="10" t="n">
        <x:v>18</x:v>
      </x:c>
      <x:c r="E117" s="10"/>
      <x:c r="F117" s="10"/>
      <x:c r="G117" s="10"/>
      <x:c r="H117" s="10" t="n">
        <x:v>69</x:v>
      </x:c>
      <x:c r="I117" s="11" t="n">
        <x:f aca="0">ROUND((IF((B117*C117)/90000&lt;1,1))+IF((B117*C117)/90000&gt;=1,(B117*C117)/90000),1.1)</x:f>
        <x:v>1</x:v>
      </x:c>
      <x:c r="J117" s="11" t="n">
        <x:f aca="0">SUM(F117*I117)</x:f>
        <x:v>0</x:v>
      </x:c>
      <x:c r="K117" s="11" t="n">
        <x:f aca="0">SUM(H117*J117)</x:f>
        <x:v>0</x:v>
      </x:c>
      <x:c r="L117" s="11"/>
      <x:c r="M117" s="11" t="n">
        <x:f aca="0">SUM(C117)</x:f>
        <x:v>0</x:v>
      </x:c>
      <x:c r="N117" s="11" t="n">
        <x:f aca="0">SUM(B117-1)</x:f>
        <x:v>-1</x:v>
      </x:c>
      <x:c r="O117" s="11" t="n">
        <x:f aca="0">SUM(F117*1)</x:f>
        <x:v>0</x:v>
      </x:c>
      <x:c r="P117" s="11"/>
      <x:c r="Q117" s="11" t="str">
        <x:f aca="0">A117</x:f>
        <x:v>擋板</x:v>
      </x:c>
      <x:c r="R117" s="1" t="n">
        <x:f aca="0">SUM(C117*2)*F117</x:f>
        <x:v>0</x:v>
      </x:c>
      <x:c r="T117"/>
    </x:row>
    <x:row r="118" ht="22.200000762939453" hidden="0">
      <x:c r="A118" s="10" t="s">
        <x:v>35</x:v>
      </x:c>
      <x:c r="B118" s="10"/>
      <x:c r="C118" s="10"/>
      <x:c r="D118" s="10" t="n">
        <x:v>18</x:v>
      </x:c>
      <x:c r="E118" s="10"/>
      <x:c r="F118" s="10"/>
      <x:c r="G118" s="10"/>
      <x:c r="H118" s="10" t="n">
        <x:v>69</x:v>
      </x:c>
      <x:c r="I118" s="11" t="n">
        <x:f aca="0">ROUND((IF((B118*C118)/90000&lt;1,1))+IF((B118*C118)/90000&gt;=1,(B118*C118)/90000),1.1)</x:f>
        <x:v>1</x:v>
      </x:c>
      <x:c r="J118" s="11" t="n">
        <x:f aca="0">SUM(F118*I118)</x:f>
        <x:v>0</x:v>
      </x:c>
      <x:c r="K118" s="11" t="n">
        <x:f aca="0">SUM(H118*J118)</x:f>
        <x:v>0</x:v>
      </x:c>
      <x:c r="L118" s="11"/>
      <x:c r="M118" s="11" t="n">
        <x:f aca="0">SUM(C118)</x:f>
        <x:v>0</x:v>
      </x:c>
      <x:c r="N118" s="11" t="n">
        <x:f aca="0">SUM(B118-1)</x:f>
        <x:v>-1</x:v>
      </x:c>
      <x:c r="O118" s="11" t="n">
        <x:f aca="0">SUM(F118*1)</x:f>
        <x:v>0</x:v>
      </x:c>
      <x:c r="P118" s="11"/>
      <x:c r="Q118" s="11" t="str">
        <x:f aca="0">A118</x:f>
        <x:v>擋板</x:v>
      </x:c>
      <x:c r="R118" s="1" t="n">
        <x:f aca="0">SUM(C118*2)*F118</x:f>
        <x:v>0</x:v>
      </x:c>
      <x:c r="T118"/>
    </x:row>
    <x:row r="119" ht="22.200000762939453" hidden="0">
      <x:c r="A119" s="10" t="s">
        <x:v>36</x:v>
      </x:c>
      <x:c r="B119" s="10"/>
      <x:c r="C119" s="10"/>
      <x:c r="D119" s="10" t="n">
        <x:v>8</x:v>
      </x:c>
      <x:c r="E119" s="10"/>
      <x:c r="F119" s="10"/>
      <x:c r="G119" s="10"/>
      <x:c r="H119" s="10" t="n">
        <x:v>69</x:v>
      </x:c>
      <x:c r="I119" s="11" t="n">
        <x:f aca="0">ROUND((IF((B119*C119)/90000&lt;1,1))+IF((B119*C119)/90000&gt;=1,(B119*C119)/90000),1.1)</x:f>
        <x:v>1</x:v>
      </x:c>
      <x:c r="J119" s="11" t="n">
        <x:f aca="0">SUM(F119*I119)</x:f>
        <x:v>0</x:v>
      </x:c>
      <x:c r="K119" s="11" t="n">
        <x:f aca="0">SUM(H119*J119)</x:f>
        <x:v>0</x:v>
      </x:c>
      <x:c r="L119" s="11"/>
      <x:c r="M119" s="11" t="n">
        <x:f aca="0">SUM(C119)</x:f>
        <x:v>0</x:v>
      </x:c>
      <x:c r="N119" s="11" t="n">
        <x:f aca="0">SUM(B119-1)</x:f>
        <x:v>-1</x:v>
      </x:c>
      <x:c r="O119" s="11" t="n">
        <x:f aca="0">SUM(F119*1)</x:f>
        <x:v>0</x:v>
      </x:c>
      <x:c r="P119" s="11"/>
      <x:c r="Q119" s="11" t="str">
        <x:f aca="0">A119</x:f>
        <x:v>襯板</x:v>
      </x:c>
      <x:c r="R119" s="1" t="n">
        <x:f aca="0">SUM(C119*2)*F119</x:f>
        <x:v>0</x:v>
      </x:c>
      <x:c r="T119"/>
    </x:row>
    <x:row r="120" ht="22.200000762939453" hidden="0">
      <x:c r="A120" s="10" t="s">
        <x:v>36</x:v>
      </x:c>
      <x:c r="B120" s="10"/>
      <x:c r="C120" s="10"/>
      <x:c r="D120" s="10" t="n">
        <x:v>8</x:v>
      </x:c>
      <x:c r="E120" s="10"/>
      <x:c r="F120" s="10"/>
      <x:c r="G120" s="10"/>
      <x:c r="H120" s="10" t="n">
        <x:v>69</x:v>
      </x:c>
      <x:c r="I120" s="11" t="n">
        <x:f aca="0">ROUND((IF((B120*C120)/90000&lt;1,1))+IF((B120*C120)/90000&gt;=1,(B120*C120)/90000),1.1)</x:f>
        <x:v>1</x:v>
      </x:c>
      <x:c r="J120" s="11" t="n">
        <x:f aca="0">SUM(F120*I120)</x:f>
        <x:v>0</x:v>
      </x:c>
      <x:c r="K120" s="11" t="n">
        <x:f aca="0">SUM(H120*J120)</x:f>
        <x:v>0</x:v>
      </x:c>
      <x:c r="L120" s="11"/>
      <x:c r="M120" s="11" t="n">
        <x:f aca="0">SUM(C120)</x:f>
        <x:v>0</x:v>
      </x:c>
      <x:c r="N120" s="11" t="n">
        <x:f aca="0">SUM(B120-1)</x:f>
        <x:v>-1</x:v>
      </x:c>
      <x:c r="O120" s="11" t="n">
        <x:f aca="0">SUM(F120*1)</x:f>
        <x:v>0</x:v>
      </x:c>
      <x:c r="P120" s="11"/>
      <x:c r="Q120" s="11" t="str">
        <x:f aca="0">A120</x:f>
        <x:v>襯板</x:v>
      </x:c>
      <x:c r="R120" s="1" t="n">
        <x:f aca="0">SUM(C120*2)*F120</x:f>
        <x:v>0</x:v>
      </x:c>
      <x:c r="T120"/>
    </x:row>
    <x:row r="121" ht="22.200000762939453" hidden="0">
      <x:c r="A121" s="10" t="s">
        <x:v>37</x:v>
      </x:c>
      <x:c r="B121" s="10"/>
      <x:c r="C121" s="10"/>
      <x:c r="D121" s="10" t="n">
        <x:v>8</x:v>
      </x:c>
      <x:c r="E121" s="10"/>
      <x:c r="F121" s="10"/>
      <x:c r="G121" s="10"/>
      <x:c r="H121" s="10" t="n">
        <x:v>50</x:v>
      </x:c>
      <x:c r="I121" s="11" t="n">
        <x:f aca="0">ROUND((IF((B121*C121)/90000&lt;1,1))+IF((B121*C121)/90000&gt;=1,(B121*C121)/90000),1.1)</x:f>
        <x:v>1</x:v>
      </x:c>
      <x:c r="J121" s="11" t="n">
        <x:f aca="0">SUM(F121*I121)</x:f>
        <x:v>0</x:v>
      </x:c>
      <x:c r="K121" s="11" t="n">
        <x:f aca="0">SUM(H121*J121)</x:f>
        <x:v>0</x:v>
      </x:c>
      <x:c r="L121" s="11"/>
      <x:c r="M121" s="11" t="n">
        <x:f aca="0">SUM(C121)</x:f>
        <x:v>0</x:v>
      </x:c>
      <x:c r="N121" s="11" t="n">
        <x:f aca="0">SUM(B121)</x:f>
        <x:v>0</x:v>
      </x:c>
      <x:c r="O121" s="11" t="n">
        <x:f aca="0">SUM(F121*1)</x:f>
        <x:v>0</x:v>
      </x:c>
      <x:c r="P121" s="11"/>
      <x:c r="Q121" s="11" t="str">
        <x:f aca="0">A121</x:f>
        <x:v>背板</x:v>
      </x:c>
      <x:c r="T121"/>
    </x:row>
    <x:row r="122" ht="22.200000762939453" hidden="0">
      <x:c r="A122" s="10" t="s">
        <x:v>37</x:v>
      </x:c>
      <x:c r="B122" s="10" t="n">
        <x:v>624</x:v>
      </x:c>
      <x:c r="C122" s="10" t="n">
        <x:v>614</x:v>
      </x:c>
      <x:c r="D122" s="10" t="n">
        <x:v>8</x:v>
      </x:c>
      <x:c r="E122" s="10"/>
      <x:c r="F122" s="10" t="n">
        <x:v>1</x:v>
      </x:c>
      <x:c r="G122" s="10"/>
      <x:c r="H122" s="10" t="n">
        <x:v>50</x:v>
      </x:c>
      <x:c r="I122" s="11" t="n">
        <x:f aca="0">ROUND((IF((B122*C122)/90000&lt;1,1))+IF((B122*C122)/90000&gt;=1,(B122*C122)/90000),1.1)</x:f>
        <x:v>4.3</x:v>
      </x:c>
      <x:c r="J122" s="11" t="n">
        <x:f aca="0">SUM(F122*I122)</x:f>
        <x:v>4.3</x:v>
      </x:c>
      <x:c r="K122" s="11" t="n">
        <x:f aca="0">SUM(H122*J122)</x:f>
        <x:v>215</x:v>
      </x:c>
      <x:c r="L122" s="11"/>
      <x:c r="M122" s="11" t="n">
        <x:f aca="0">SUM(C122)</x:f>
        <x:v>614</x:v>
      </x:c>
      <x:c r="N122" s="11" t="n">
        <x:f aca="0">SUM(B122)</x:f>
        <x:v>624</x:v>
      </x:c>
      <x:c r="O122" s="11" t="n">
        <x:f aca="0">SUM(F122*1)</x:f>
        <x:v>1</x:v>
      </x:c>
      <x:c r="P122" s="11"/>
      <x:c r="Q122" s="11" t="str">
        <x:f aca="0">A122</x:f>
        <x:v>背板</x:v>
      </x:c>
      <x:c r="T122"/>
    </x:row>
    <x:row r="123" ht="22.200000762939453" hidden="0">
      <x:c r="A123" s="10" t="s">
        <x:v>37</x:v>
      </x:c>
      <x:c r="B123" s="10" t="n">
        <x:v>854</x:v>
      </x:c>
      <x:c r="C123" s="10" t="n">
        <x:v>614</x:v>
      </x:c>
      <x:c r="D123" s="10" t="n">
        <x:v>8</x:v>
      </x:c>
      <x:c r="E123" s="10"/>
      <x:c r="F123" s="10" t="n">
        <x:v>2</x:v>
      </x:c>
      <x:c r="G123" s="10"/>
      <x:c r="H123" s="10" t="n">
        <x:v>50</x:v>
      </x:c>
      <x:c r="I123" s="11" t="n">
        <x:f aca="0">ROUND((IF((B123*C123)/90000&lt;1,1))+IF((B123*C123)/90000&gt;=1,(B123*C123)/90000),1.1)</x:f>
        <x:v>5.8</x:v>
      </x:c>
      <x:c r="J123" s="11" t="n">
        <x:f aca="0">SUM(F123*I123)</x:f>
        <x:v>11.6</x:v>
      </x:c>
      <x:c r="K123" s="11" t="n">
        <x:f aca="0">SUM(H123*J123)</x:f>
        <x:v>580</x:v>
      </x:c>
      <x:c r="L123" s="11"/>
      <x:c r="M123" s="11" t="n">
        <x:f aca="0">SUM(C123)</x:f>
        <x:v>614</x:v>
      </x:c>
      <x:c r="N123" s="11" t="n">
        <x:f aca="0">SUM(B123)</x:f>
        <x:v>854</x:v>
      </x:c>
      <x:c r="O123" s="11" t="n">
        <x:f aca="0">SUM(F123*1)</x:f>
        <x:v>2</x:v>
      </x:c>
      <x:c r="P123" s="11"/>
      <x:c r="Q123" s="11" t="str">
        <x:f aca="0">A123</x:f>
        <x:v>背板</x:v>
      </x:c>
      <x:c r="T123"/>
    </x:row>
    <x:row r="124" ht="22.200000762939453" hidden="0">
      <x:c r="A124" s="10" t="s">
        <x:v>37</x:v>
      </x:c>
      <x:c r="B124" s="10" t="n">
        <x:v>854</x:v>
      </x:c>
      <x:c r="C124" s="10" t="n">
        <x:v>2054</x:v>
      </x:c>
      <x:c r="D124" s="10" t="n">
        <x:v>8</x:v>
      </x:c>
      <x:c r="E124" s="10"/>
      <x:c r="F124" s="10" t="n">
        <x:v>3</x:v>
      </x:c>
      <x:c r="G124" s="10"/>
      <x:c r="H124" s="10" t="n">
        <x:v>50</x:v>
      </x:c>
      <x:c r="I124" s="11" t="n">
        <x:f aca="0">ROUND((IF((B124*C124)/90000&lt;1,1))+IF((B124*C124)/90000&gt;=1,(B124*C124)/90000),1.1)</x:f>
        <x:v>19.5</x:v>
      </x:c>
      <x:c r="J124" s="11" t="n">
        <x:f aca="0">SUM(F124*I124)</x:f>
        <x:v>58.5</x:v>
      </x:c>
      <x:c r="K124" s="11" t="n">
        <x:f aca="0">SUM(H124*J124)</x:f>
        <x:v>2925</x:v>
      </x:c>
      <x:c r="L124" s="11"/>
      <x:c r="M124" s="11" t="n">
        <x:f aca="0">SUM(C124)</x:f>
        <x:v>2054</x:v>
      </x:c>
      <x:c r="N124" s="11" t="n">
        <x:f aca="0">SUM(B124)</x:f>
        <x:v>854</x:v>
      </x:c>
      <x:c r="O124" s="11" t="n">
        <x:f aca="0">SUM(F124*1)</x:f>
        <x:v>3</x:v>
      </x:c>
      <x:c r="P124" s="11"/>
      <x:c r="Q124" s="11" t="str">
        <x:f aca="0">A124</x:f>
        <x:v>背板</x:v>
      </x:c>
      <x:c r="T124"/>
    </x:row>
    <x:row r="125" ht="22.200000762939453" hidden="0">
      <x:c r="A125" s="10" t="s">
        <x:v>37</x:v>
      </x:c>
      <x:c r="B125" s="10"/>
      <x:c r="C125" s="10"/>
      <x:c r="D125" s="10" t="n">
        <x:v>8</x:v>
      </x:c>
      <x:c r="E125" s="10"/>
      <x:c r="F125" s="10"/>
      <x:c r="G125" s="10"/>
      <x:c r="H125" s="10" t="n">
        <x:v>50</x:v>
      </x:c>
      <x:c r="I125" s="11" t="n">
        <x:f aca="0">ROUND((IF((B125*C125)/90000&lt;1,1))+IF((B125*C125)/90000&gt;=1,(B125*C125)/90000),1.1)</x:f>
        <x:v>1</x:v>
      </x:c>
      <x:c r="J125" s="11" t="n">
        <x:f aca="0">SUM(F125*I125)</x:f>
        <x:v>0</x:v>
      </x:c>
      <x:c r="K125" s="11" t="n">
        <x:f aca="0">SUM(H125*J125)</x:f>
        <x:v>0</x:v>
      </x:c>
      <x:c r="L125" s="11"/>
      <x:c r="M125" s="11" t="n">
        <x:f aca="0">SUM(C125)</x:f>
        <x:v>0</x:v>
      </x:c>
      <x:c r="N125" s="11" t="n">
        <x:f aca="0">SUM(B125)</x:f>
        <x:v>0</x:v>
      </x:c>
      <x:c r="O125" s="11" t="n">
        <x:f aca="0">SUM(F125*1)</x:f>
        <x:v>0</x:v>
      </x:c>
      <x:c r="P125" s="11"/>
      <x:c r="Q125" s="11" t="str">
        <x:f aca="0">A125</x:f>
        <x:v>背板</x:v>
      </x:c>
      <x:c r="T125"/>
    </x:row>
    <x:row r="126" ht="22.200000762939453" hidden="0">
      <x:c r="A126" s="10" t="s">
        <x:v>38</x:v>
      </x:c>
      <x:c r="B126" s="10" t="n">
        <x:v>100</x:v>
      </x:c>
      <x:c r="C126" s="10" t="n">
        <x:v>2640</x:v>
      </x:c>
      <x:c r="D126" s="10" t="n">
        <x:v>18</x:v>
      </x:c>
      <x:c r="E126" s="10"/>
      <x:c r="F126" s="10" t="n">
        <x:v>1</x:v>
      </x:c>
      <x:c r="G126" s="10"/>
      <x:c r="H126" s="10" t="n">
        <x:v>50</x:v>
      </x:c>
      <x:c r="I126" s="11" t="n">
        <x:f aca="0">ROUND((IF((B126*C126)/90000&lt;1,1))+IF((B126*C126)/90000&gt;=1,(B126*C126)/90000),1.1)</x:f>
        <x:v>2.9</x:v>
      </x:c>
      <x:c r="J126" s="11" t="n">
        <x:f aca="0">SUM(F126*I126)</x:f>
        <x:v>2.9</x:v>
      </x:c>
      <x:c r="K126" s="11" t="n">
        <x:f aca="0">SUM(H126*J126)</x:f>
        <x:v>145</x:v>
      </x:c>
      <x:c r="L126" s="11"/>
      <x:c r="M126" s="11" t="n">
        <x:f aca="0">SUM(C126)</x:f>
        <x:v>2640</x:v>
      </x:c>
      <x:c r="N126" s="11" t="n">
        <x:f aca="0">SUM(B126)</x:f>
        <x:v>100</x:v>
      </x:c>
      <x:c r="O126" s="11" t="n">
        <x:f aca="0">SUM(F126*1)</x:f>
        <x:v>1</x:v>
      </x:c>
      <x:c r="P126" s="11"/>
      <x:c r="Q126" s="11" t="str">
        <x:f aca="0">A126</x:f>
        <x:v>踢腳板</x:v>
      </x:c>
      <x:c r="R126" s="1" t="n">
        <x:f aca="0">SUM(C126*1)*F126</x:f>
        <x:v>2640</x:v>
      </x:c>
      <x:c r="T126"/>
    </x:row>
    <x:row r="127" ht="22.200000762939453" hidden="0">
      <x:c r="A127" s="10" t="s">
        <x:v>39</x:v>
      </x:c>
      <x:c r="B127" s="10"/>
      <x:c r="C127" s="10"/>
      <x:c r="D127" s="10" t="n">
        <x:v>25</x:v>
      </x:c>
      <x:c r="E127" s="10"/>
      <x:c r="F127" s="10"/>
      <x:c r="G127" s="10"/>
      <x:c r="H127" s="10" t="n">
        <x:v>126</x:v>
      </x:c>
      <x:c r="I127" s="11" t="n">
        <x:f aca="0">ROUND((IF((B127*C127)/90000&lt;1,1))+IF((B127*C127)/90000&gt;=1,(B127*C127)/90000),1.1)</x:f>
        <x:v>1</x:v>
      </x:c>
      <x:c r="J127" s="11" t="n">
        <x:f aca="0">SUM(F127*I127)</x:f>
        <x:v>0</x:v>
      </x:c>
      <x:c r="K127" s="11" t="n">
        <x:f aca="0">SUM(H127*J127)</x:f>
        <x:v>0</x:v>
      </x:c>
      <x:c r="L127" s="11"/>
      <x:c r="M127" s="11" t="n">
        <x:f aca="0">SUM(C127)</x:f>
        <x:v>0</x:v>
      </x:c>
      <x:c r="N127" s="11" t="n">
        <x:f aca="0">SUM(B127-1)</x:f>
        <x:v>-1</x:v>
      </x:c>
      <x:c r="O127" s="11" t="n">
        <x:f aca="0">SUM(F127*1)</x:f>
        <x:v>0</x:v>
      </x:c>
      <x:c r="P127" s="11"/>
      <x:c r="Q127" s="11" t="str">
        <x:f aca="0">A127</x:f>
        <x:v>檯面</x:v>
      </x:c>
      <x:c r="S127" s="1" t="n">
        <x:f aca="0">SUM(B127*2+C127*1)*F127</x:f>
        <x:v>0</x:v>
      </x:c>
      <x:c r="T127"/>
    </x:row>
    <x:row r="128" ht="22.200000762939453" hidden="0">
      <x:c r="A128" s="10" t="s">
        <x:v>40</x:v>
      </x:c>
      <x:c r="B128" s="10"/>
      <x:c r="C128" s="10"/>
      <x:c r="D128" s="10" t="n">
        <x:v>18</x:v>
      </x:c>
      <x:c r="E128" s="10"/>
      <x:c r="F128" s="10"/>
      <x:c r="G128" s="10"/>
      <x:c r="H128" s="10" t="n">
        <x:v>65</x:v>
      </x:c>
      <x:c r="I128" s="11" t="n">
        <x:f aca="0">ROUND((IF((B128*C128)/90000&lt;1,1))+IF((B128*C128)/90000&gt;=1,(B128*C128)/90000),1.1)</x:f>
        <x:v>1</x:v>
      </x:c>
      <x:c r="J128" s="11" t="n">
        <x:f aca="0">SUM(F128*I128)</x:f>
        <x:v>0</x:v>
      </x:c>
      <x:c r="K128" s="11" t="n">
        <x:f aca="0">SUM(H128*J128)</x:f>
        <x:v>0</x:v>
      </x:c>
      <x:c r="L128" s="11"/>
      <x:c r="M128" s="11" t="n">
        <x:f aca="0">SUM(C128)</x:f>
        <x:v>0</x:v>
      </x:c>
      <x:c r="N128" s="11" t="n">
        <x:f aca="0">SUM(B128)</x:f>
        <x:v>0</x:v>
      </x:c>
      <x:c r="O128" s="11" t="n">
        <x:f aca="0">SUM(F128*1)</x:f>
        <x:v>0</x:v>
      </x:c>
      <x:c r="P128" s="11"/>
      <x:c r="Q128" s="11" t="str">
        <x:f aca="0">A128</x:f>
        <x:v>背條</x:v>
      </x:c>
      <x:c r="T128"/>
    </x:row>
    <x:row r="129" ht="22.200000762939453" hidden="0">
      <x:c r="A129" s="10" t="s">
        <x:v>40</x:v>
      </x:c>
      <x:c r="B129" s="10" t="n">
        <x:v>110</x:v>
      </x:c>
      <x:c r="C129" s="10" t="n">
        <x:v>614</x:v>
      </x:c>
      <x:c r="D129" s="10" t="n">
        <x:v>18</x:v>
      </x:c>
      <x:c r="E129" s="10"/>
      <x:c r="F129" s="10" t="n">
        <x:v>1</x:v>
      </x:c>
      <x:c r="G129" s="10"/>
      <x:c r="H129" s="10" t="n">
        <x:v>65</x:v>
      </x:c>
      <x:c r="I129" s="11" t="n">
        <x:f aca="0">ROUND((IF((B129*C129)/90000&lt;1,1))+IF((B129*C129)/90000&gt;=1,(B129*C129)/90000),1.1)</x:f>
        <x:v>1</x:v>
      </x:c>
      <x:c r="J129" s="11" t="n">
        <x:f aca="0">SUM(F129*I129)</x:f>
        <x:v>1</x:v>
      </x:c>
      <x:c r="K129" s="11" t="n">
        <x:f aca="0">SUM(H129*J129)</x:f>
        <x:v>65</x:v>
      </x:c>
      <x:c r="L129" s="11"/>
      <x:c r="M129" s="11" t="n">
        <x:f aca="0">SUM(C129)</x:f>
        <x:v>614</x:v>
      </x:c>
      <x:c r="N129" s="11" t="n">
        <x:f aca="0">SUM(B129)</x:f>
        <x:v>110</x:v>
      </x:c>
      <x:c r="O129" s="11" t="n">
        <x:f aca="0">SUM(F129*1)</x:f>
        <x:v>1</x:v>
      </x:c>
      <x:c r="P129" s="11"/>
      <x:c r="Q129" s="11" t="str">
        <x:f aca="0">A129</x:f>
        <x:v>背條</x:v>
      </x:c>
      <x:c r="T129"/>
    </x:row>
    <x:row r="130" ht="22.200000762939453" hidden="0">
      <x:c r="A130" s="10" t="s">
        <x:v>40</x:v>
      </x:c>
      <x:c r="B130" s="10" t="n">
        <x:v>110</x:v>
      </x:c>
      <x:c r="C130" s="10" t="n">
        <x:v>844</x:v>
      </x:c>
      <x:c r="D130" s="10" t="n">
        <x:v>18</x:v>
      </x:c>
      <x:c r="E130" s="10"/>
      <x:c r="F130" s="10" t="n">
        <x:v>8</x:v>
      </x:c>
      <x:c r="G130" s="10"/>
      <x:c r="H130" s="10" t="n">
        <x:v>65</x:v>
      </x:c>
      <x:c r="I130" s="11" t="n">
        <x:f aca="0">ROUND((IF((B130*C130)/90000&lt;1,1))+IF((B130*C130)/90000&gt;=1,(B130*C130)/90000),1.1)</x:f>
        <x:v>1</x:v>
      </x:c>
      <x:c r="J130" s="11" t="n">
        <x:f aca="0">SUM(F130*I130)</x:f>
        <x:v>8</x:v>
      </x:c>
      <x:c r="K130" s="11" t="n">
        <x:f aca="0">SUM(H130*J130)</x:f>
        <x:v>520</x:v>
      </x:c>
      <x:c r="L130" s="11"/>
      <x:c r="M130" s="11" t="n">
        <x:f aca="0">SUM(C130)</x:f>
        <x:v>844</x:v>
      </x:c>
      <x:c r="N130" s="11" t="n">
        <x:f aca="0">SUM(B130)</x:f>
        <x:v>110</x:v>
      </x:c>
      <x:c r="O130" s="11" t="n">
        <x:f aca="0">SUM(F130*1)</x:f>
        <x:v>8</x:v>
      </x:c>
      <x:c r="P130" s="11"/>
      <x:c r="Q130" s="11" t="str">
        <x:f aca="0">A130</x:f>
        <x:v>背條</x:v>
      </x:c>
      <x:c r="T130"/>
    </x:row>
    <x:row r="131" ht="22.200000762939453" hidden="0">
      <x:c r="A131" s="10" t="s">
        <x:v>40</x:v>
      </x:c>
      <x:c r="B131" s="10"/>
      <x:c r="C131" s="10"/>
      <x:c r="D131" s="10" t="n">
        <x:v>18</x:v>
      </x:c>
      <x:c r="E131" s="10"/>
      <x:c r="F131" s="10"/>
      <x:c r="G131" s="10"/>
      <x:c r="H131" s="10" t="n">
        <x:v>65</x:v>
      </x:c>
      <x:c r="I131" s="11" t="n">
        <x:f aca="0">ROUND((IF((B131*C131)/90000&lt;1,1))+IF((B131*C131)/90000&gt;=1,(B131*C131)/90000),1.1)</x:f>
        <x:v>1</x:v>
      </x:c>
      <x:c r="J131" s="11" t="n">
        <x:f aca="0">SUM(F131*I131)</x:f>
        <x:v>0</x:v>
      </x:c>
      <x:c r="K131" s="11" t="n">
        <x:f aca="0">SUM(H131*J131)</x:f>
        <x:v>0</x:v>
      </x:c>
      <x:c r="L131" s="11"/>
      <x:c r="M131" s="11" t="n">
        <x:f aca="0">SUM(C131)</x:f>
        <x:v>0</x:v>
      </x:c>
      <x:c r="N131" s="11" t="n">
        <x:f aca="0">SUM(B131)</x:f>
        <x:v>0</x:v>
      </x:c>
      <x:c r="O131" s="11" t="n">
        <x:f aca="0">SUM(F131*1)</x:f>
        <x:v>0</x:v>
      </x:c>
      <x:c r="P131" s="11"/>
      <x:c r="Q131" s="11" t="str">
        <x:f aca="0">A131</x:f>
        <x:v>背條</x:v>
      </x:c>
      <x:c r="T131"/>
    </x:row>
    <x:row r="132" ht="22.200000762939453" hidden="0">
      <x:c r="A132" s="12" t="s">
        <x:v>41</x:v>
      </x:c>
      <x:c r="B132" s="10"/>
      <x:c r="C132" s="10"/>
      <x:c r="D132" s="10"/>
      <x:c r="E132" s="10"/>
      <x:c r="F132" s="10" t="n">
        <x:v>12</x:v>
      </x:c>
      <x:c r="G132" s="10"/>
      <x:c r="H132" s="10" t="n">
        <x:v>11</x:v>
      </x:c>
      <x:c r="I132" s="11"/>
      <x:c r="J132" s="11"/>
      <x:c r="K132" s="11" t="n">
        <x:f aca="0">SUM(F132*H132)</x:f>
        <x:v>132</x:v>
      </x:c>
      <x:c r="L132" s="11"/>
      <x:c r="M132" s="11"/>
      <x:c r="N132" s="11"/>
      <x:c r="O132" s="11"/>
      <x:c r="P132" s="11"/>
      <x:c r="Q132" s="11"/>
      <x:c r="T132"/>
    </x:row>
    <x:row r="133" ht="22.200000762939453" hidden="0">
      <x:c r="A133" s="12" t="s">
        <x:v>42</x:v>
      </x:c>
      <x:c r="B133" s="10"/>
      <x:c r="C133" s="10"/>
      <x:c r="D133" s="10"/>
      <x:c r="E133" s="10"/>
      <x:c r="F133" s="10" t="n">
        <x:v>48</x:v>
      </x:c>
      <x:c r="G133" s="10"/>
      <x:c r="H133" s="10" t="n">
        <x:v>9</x:v>
      </x:c>
      <x:c r="I133" s="11"/>
      <x:c r="J133" s="11"/>
      <x:c r="K133" s="11" t="n">
        <x:f aca="0">SUM(F133*H133)</x:f>
        <x:v>432</x:v>
      </x:c>
      <x:c r="L133" s="11"/>
      <x:c r="M133" s="11"/>
      <x:c r="N133" s="11"/>
      <x:c r="O133" s="11"/>
      <x:c r="P133" s="11"/>
      <x:c r="Q133" s="11"/>
      <x:c r="R133" s="9"/>
      <x:c r="S133" s="13"/>
      <x:c r="T133"/>
    </x:row>
    <x:row r="134" ht="22.200000762939453" hidden="0">
      <x:c r="A134" s="10" t="s">
        <x:v>43</x:v>
      </x:c>
      <x:c r="B134" s="10"/>
      <x:c r="C134" s="10"/>
      <x:c r="D134" s="10"/>
      <x:c r="E134" s="10"/>
      <x:c r="F134" s="10" t="n">
        <x:v>48</x:v>
      </x:c>
      <x:c r="G134" s="10"/>
      <x:c r="H134" s="10" t="n">
        <x:v>1</x:v>
      </x:c>
      <x:c r="I134" s="11"/>
      <x:c r="J134" s="11"/>
      <x:c r="K134" s="11" t="n">
        <x:f aca="0">SUM(F134*H134)</x:f>
        <x:v>48</x:v>
      </x:c>
      <x:c r="L134" s="11"/>
      <x:c r="M134" s="11"/>
      <x:c r="N134" s="11"/>
      <x:c r="O134" s="11"/>
      <x:c r="P134" s="11"/>
      <x:c r="Q134" s="11"/>
      <x:c r="T134"/>
    </x:row>
    <x:row r="135" ht="22.200000762939453" hidden="0">
      <x:c r="A135" s="10" t="s">
        <x:v>44</x:v>
      </x:c>
      <x:c r="B135" s="10"/>
      <x:c r="C135" s="10"/>
      <x:c r="D135" s="10"/>
      <x:c r="E135" s="10"/>
      <x:c r="F135" s="10" t="n">
        <x:v>8</x:v>
      </x:c>
      <x:c r="G135" s="10"/>
      <x:c r="H135" s="10" t="n">
        <x:v>11</x:v>
      </x:c>
      <x:c r="I135" s="11"/>
      <x:c r="J135" s="11"/>
      <x:c r="K135" s="11" t="n">
        <x:f aca="0">SUM(F135*H135)</x:f>
        <x:v>88</x:v>
      </x:c>
      <x:c r="L135" s="11"/>
      <x:c r="M135" s="11"/>
      <x:c r="N135" s="11"/>
      <x:c r="O135" s="11"/>
      <x:c r="P135" s="11"/>
      <x:c r="Q135" s="11"/>
      <x:c r="T135"/>
    </x:row>
    <x:row r="136" ht="22.200000762939453" hidden="0">
      <x:c r="A136" s="10" t="s">
        <x:v>45</x:v>
      </x:c>
      <x:c r="B136" s="10"/>
      <x:c r="C136" s="10"/>
      <x:c r="D136" s="10"/>
      <x:c r="E136" s="10"/>
      <x:c r="F136" s="10"/>
      <x:c r="G136" s="10"/>
      <x:c r="H136" s="10" t="n">
        <x:v>7</x:v>
      </x:c>
      <x:c r="I136" s="11"/>
      <x:c r="J136" s="11"/>
      <x:c r="K136" s="11" t="n">
        <x:f aca="0">SUM(F136*H136)</x:f>
        <x:v>0</x:v>
      </x:c>
      <x:c r="L136" s="11"/>
      <x:c r="M136" s="11"/>
      <x:c r="N136" s="11"/>
      <x:c r="O136" s="11"/>
      <x:c r="P136" s="11"/>
      <x:c r="Q136" s="11"/>
      <x:c r="T136"/>
    </x:row>
    <x:row r="137" ht="22.200000762939453" hidden="0">
      <x:c r="A137" s="12" t="s">
        <x:v>46</x:v>
      </x:c>
      <x:c r="B137" s="10"/>
      <x:c r="C137" s="10"/>
      <x:c r="D137" s="10"/>
      <x:c r="E137" s="10"/>
      <x:c r="F137" s="10" t="n">
        <x:v>34</x:v>
      </x:c>
      <x:c r="G137" s="10"/>
      <x:c r="H137" s="10" t="n">
        <x:v>50</x:v>
      </x:c>
      <x:c r="I137" s="11"/>
      <x:c r="J137" s="11"/>
      <x:c r="K137" s="11" t="n">
        <x:f aca="0">SUM(F137*H137)</x:f>
        <x:v>1700</x:v>
      </x:c>
      <x:c r="L137" s="11"/>
      <x:c r="M137" s="11"/>
      <x:c r="N137" s="11"/>
      <x:c r="O137" s="11"/>
      <x:c r="P137" s="11"/>
      <x:c r="Q137" s="11"/>
      <x:c r="T137"/>
    </x:row>
    <x:row r="138" ht="22.200000762939453" hidden="0">
      <x:c r="A138" s="10" t="s">
        <x:v>47</x:v>
      </x:c>
      <x:c r="B138" s="10"/>
      <x:c r="C138" s="10"/>
      <x:c r="D138" s="10"/>
      <x:c r="E138" s="10"/>
      <x:c r="F138" s="10" t="n">
        <x:v>11</x:v>
      </x:c>
      <x:c r="G138" s="10"/>
      <x:c r="H138" s="10" t="n">
        <x:v>90</x:v>
      </x:c>
      <x:c r="I138" s="11"/>
      <x:c r="J138" s="11"/>
      <x:c r="K138" s="11" t="n">
        <x:f aca="0">SUM(F138*H138)</x:f>
        <x:v>990</x:v>
      </x:c>
      <x:c r="L138" s="11"/>
      <x:c r="M138" s="11"/>
      <x:c r="N138" s="11"/>
      <x:c r="O138" s="11"/>
      <x:c r="P138" s="11"/>
      <x:c r="Q138" s="11"/>
      <x:c r="T138"/>
    </x:row>
    <x:row r="139" ht="22.200000762939453" hidden="0">
      <x:c r="A139" s="10" t="s">
        <x:v>48</x:v>
      </x:c>
      <x:c r="B139" s="10"/>
      <x:c r="C139" s="10"/>
      <x:c r="D139" s="10"/>
      <x:c r="E139" s="10"/>
      <x:c r="F139" s="10"/>
      <x:c r="G139" s="10"/>
      <x:c r="H139" s="10" t="n">
        <x:v>275</x:v>
      </x:c>
      <x:c r="I139" s="11"/>
      <x:c r="J139" s="11"/>
      <x:c r="K139" s="11" t="n">
        <x:f aca="0">SUM(F139*H139)</x:f>
        <x:v>0</x:v>
      </x:c>
      <x:c r="L139" s="11"/>
      <x:c r="M139" s="11"/>
      <x:c r="N139" s="11"/>
      <x:c r="O139" s="11"/>
      <x:c r="P139" s="11"/>
      <x:c r="Q139" s="11"/>
      <x:c r="T139"/>
    </x:row>
    <x:row r="140" ht="22.200000762939453" hidden="0">
      <x:c r="A140" s="12" t="s">
        <x:v>49</x:v>
      </x:c>
      <x:c r="B140" s="10"/>
      <x:c r="C140" s="10"/>
      <x:c r="D140" s="10"/>
      <x:c r="E140" s="10"/>
      <x:c r="F140" s="10"/>
      <x:c r="G140" s="10"/>
      <x:c r="H140" s="10" t="n">
        <x:v>165</x:v>
      </x:c>
      <x:c r="I140" s="11"/>
      <x:c r="J140" s="11"/>
      <x:c r="K140" s="11" t="n">
        <x:f aca="0">SUM(F140*H140)</x:f>
        <x:v>0</x:v>
      </x:c>
      <x:c r="L140" s="11"/>
      <x:c r="M140" s="11"/>
      <x:c r="N140" s="11"/>
      <x:c r="O140" s="11"/>
      <x:c r="P140" s="11"/>
      <x:c r="Q140" s="11"/>
      <x:c r="T140"/>
    </x:row>
    <x:row r="141" ht="22.200000762939453" hidden="0">
      <x:c r="A141" s="12" t="s">
        <x:v>50</x:v>
      </x:c>
      <x:c r="B141" s="10"/>
      <x:c r="C141" s="10"/>
      <x:c r="D141" s="10"/>
      <x:c r="E141" s="10"/>
      <x:c r="F141" s="10"/>
      <x:c r="G141" s="10"/>
      <x:c r="H141" s="10"/>
      <x:c r="I141" s="11"/>
      <x:c r="J141" s="11"/>
      <x:c r="K141" s="11" t="n">
        <x:f aca="0">SUM(F141*H141)</x:f>
        <x:v>0</x:v>
      </x:c>
      <x:c r="L141" s="11"/>
      <x:c r="M141" s="11"/>
      <x:c r="N141" s="11"/>
      <x:c r="O141" s="11"/>
      <x:c r="P141" s="11"/>
      <x:c r="Q141" s="11"/>
      <x:c r="T141"/>
    </x:row>
    <x:row r="142" ht="22.200000762939453" hidden="0">
      <x:c r="A142" s="12" t="s">
        <x:v>51</x:v>
      </x:c>
      <x:c r="B142" s="10"/>
      <x:c r="C142" s="10"/>
      <x:c r="D142" s="10"/>
      <x:c r="E142" s="10"/>
      <x:c r="F142" s="10"/>
      <x:c r="G142" s="10"/>
      <x:c r="H142" s="10"/>
      <x:c r="I142" s="11"/>
      <x:c r="J142" s="11"/>
      <x:c r="K142" s="11" t="n">
        <x:f aca="0">SUM(F142*H142)</x:f>
        <x:v>0</x:v>
      </x:c>
      <x:c r="L142" s="11"/>
      <x:c r="M142" s="11"/>
      <x:c r="N142" s="11"/>
      <x:c r="O142" s="11"/>
      <x:c r="P142" s="11"/>
      <x:c r="Q142" s="11"/>
      <x:c r="T142"/>
    </x:row>
    <x:row r="143" ht="22.200000762939453" hidden="0">
      <x:c r="A143" s="12" t="s">
        <x:v>52</x:v>
      </x:c>
      <x:c r="B143" s="10"/>
      <x:c r="C143" s="10"/>
      <x:c r="D143" s="10"/>
      <x:c r="E143" s="10"/>
      <x:c r="F143" s="10"/>
      <x:c r="G143" s="10"/>
      <x:c r="H143" s="10"/>
      <x:c r="I143" s="11"/>
      <x:c r="J143" s="11"/>
      <x:c r="K143" s="11" t="n">
        <x:f aca="0">SUM(F143*H143)</x:f>
        <x:v>0</x:v>
      </x:c>
      <x:c r="L143" s="11"/>
      <x:c r="M143" s="11"/>
      <x:c r="N143" s="11"/>
      <x:c r="O143" s="11"/>
      <x:c r="P143" s="11"/>
      <x:c r="Q143" s="11"/>
      <x:c r="T143"/>
    </x:row>
    <x:row r="144" ht="22.200000762939453" hidden="0">
      <x:c r="A144" s="12" t="s">
        <x:v>53</x:v>
      </x:c>
      <x:c r="B144" s="10"/>
      <x:c r="C144" s="10"/>
      <x:c r="D144" s="10"/>
      <x:c r="E144" s="10"/>
      <x:c r="F144" s="10"/>
      <x:c r="G144" s="10"/>
      <x:c r="H144" s="10" t="n">
        <x:v>66</x:v>
      </x:c>
      <x:c r="I144" s="11"/>
      <x:c r="J144" s="11"/>
      <x:c r="K144" s="11" t="n">
        <x:f aca="0">SUM(F144*H144)</x:f>
        <x:v>0</x:v>
      </x:c>
      <x:c r="L144" s="11"/>
      <x:c r="M144" s="11"/>
      <x:c r="N144" s="11"/>
      <x:c r="O144" s="11"/>
      <x:c r="P144" s="11"/>
      <x:c r="Q144" s="11"/>
      <x:c r="T144"/>
    </x:row>
    <x:row r="145" ht="22.200000762939453" hidden="0">
      <x:c r="A145" s="10" t="s">
        <x:v>54</x:v>
      </x:c>
      <x:c r="B145" s="10"/>
      <x:c r="C145" s="10"/>
      <x:c r="D145" s="10"/>
      <x:c r="E145" s="10"/>
      <x:c r="F145" s="10"/>
      <x:c r="G145" s="10"/>
      <x:c r="H145" s="10" t="n">
        <x:v>220</x:v>
      </x:c>
      <x:c r="I145" s="11"/>
      <x:c r="J145" s="11"/>
      <x:c r="K145" s="11" t="n">
        <x:f aca="0">SUM(F145*H145)</x:f>
        <x:v>0</x:v>
      </x:c>
      <x:c r="L145" s="11"/>
      <x:c r="M145" s="11"/>
      <x:c r="N145" s="11"/>
      <x:c r="O145" s="11"/>
      <x:c r="P145" s="11"/>
      <x:c r="Q145" s="11"/>
      <x:c r="T145"/>
    </x:row>
    <x:row r="146" ht="22.200000762939453" hidden="0">
      <x:c r="A146" s="12" t="s">
        <x:v>55</x:v>
      </x:c>
      <x:c r="B146" s="10"/>
      <x:c r="C146" s="10"/>
      <x:c r="D146" s="10"/>
      <x:c r="E146" s="10"/>
      <x:c r="F146" s="10"/>
      <x:c r="G146" s="10"/>
      <x:c r="H146" s="10"/>
      <x:c r="I146" s="11"/>
      <x:c r="J146" s="11"/>
      <x:c r="K146" s="11" t="n">
        <x:f aca="0">SUM(F146*H146)</x:f>
        <x:v>0</x:v>
      </x:c>
      <x:c r="L146" s="11"/>
      <x:c r="M146" s="11"/>
      <x:c r="N146" s="11"/>
      <x:c r="O146" s="11"/>
      <x:c r="P146" s="11"/>
      <x:c r="Q146" s="11"/>
      <x:c r="T146"/>
    </x:row>
    <x:row r="147" ht="22.200000762939453" hidden="0">
      <x:c r="A147" s="10" t="s">
        <x:v>56</x:v>
      </x:c>
      <x:c r="B147" s="10"/>
      <x:c r="C147" s="10"/>
      <x:c r="D147" s="10"/>
      <x:c r="E147" s="10"/>
      <x:c r="F147" s="10"/>
      <x:c r="G147" s="10"/>
      <x:c r="H147" s="10" t="n">
        <x:v>800</x:v>
      </x:c>
      <x:c r="I147" s="11"/>
      <x:c r="J147" s="11"/>
      <x:c r="K147" s="11" t="n">
        <x:f aca="0">SUM(F147*H147)</x:f>
        <x:v>0</x:v>
      </x:c>
      <x:c r="L147" s="11"/>
      <x:c r="M147" s="11"/>
      <x:c r="N147" s="11"/>
      <x:c r="O147" s="11"/>
      <x:c r="P147" s="11"/>
      <x:c r="Q147" s="11"/>
      <x:c r="T147"/>
    </x:row>
    <x:row r="148" ht="22.200000762939453" hidden="0">
      <x:c r="A148" s="10" t="s">
        <x:v>57</x:v>
      </x:c>
      <x:c r="B148" s="10"/>
      <x:c r="C148" s="10"/>
      <x:c r="D148" s="10"/>
      <x:c r="E148" s="10"/>
      <x:c r="F148" s="10"/>
      <x:c r="G148" s="10"/>
      <x:c r="H148" s="10" t="n">
        <x:v>200</x:v>
      </x:c>
      <x:c r="I148" s="11"/>
      <x:c r="J148" s="11"/>
      <x:c r="K148" s="11" t="n">
        <x:f aca="0">SUM(F148*H148)</x:f>
        <x:v>0</x:v>
      </x:c>
      <x:c r="L148" s="11"/>
      <x:c r="M148" s="11"/>
      <x:c r="N148" s="11"/>
      <x:c r="O148" s="11"/>
      <x:c r="P148" s="11"/>
      <x:c r="Q148" s="11"/>
      <x:c r="T148"/>
    </x:row>
    <x:row r="149" ht="22.200000762939453" hidden="0">
      <x:c r="A149" s="10" t="s">
        <x:v>58</x:v>
      </x:c>
      <x:c r="B149" s="10"/>
      <x:c r="C149" s="10"/>
      <x:c r="D149" s="10"/>
      <x:c r="E149" s="10"/>
      <x:c r="F149" s="10"/>
      <x:c r="G149" s="10"/>
      <x:c r="H149" s="10" t="n">
        <x:v>150</x:v>
      </x:c>
      <x:c r="I149" s="11"/>
      <x:c r="J149" s="11"/>
      <x:c r="K149" s="11" t="n">
        <x:f aca="0">SUM(F149*H149)</x:f>
        <x:v>0</x:v>
      </x:c>
      <x:c r="L149" s="11"/>
      <x:c r="M149" s="11"/>
      <x:c r="N149" s="11"/>
      <x:c r="O149" s="11"/>
      <x:c r="P149" s="11"/>
      <x:c r="Q149" s="11"/>
      <x:c r="T149"/>
    </x:row>
    <x:row r="150" ht="22.200000762939453" hidden="0">
      <x:c r="A150" s="10" t="s">
        <x:v>59</x:v>
      </x:c>
      <x:c r="B150" s="10"/>
      <x:c r="C150" s="10"/>
      <x:c r="D150" s="10"/>
      <x:c r="E150" s="10"/>
      <x:c r="F150" s="10"/>
      <x:c r="G150" s="10"/>
      <x:c r="H150" s="10" t="n">
        <x:v>34</x:v>
      </x:c>
      <x:c r="I150" s="11"/>
      <x:c r="J150" s="11"/>
      <x:c r="K150" s="11" t="n">
        <x:f aca="0">SUM(F150*H150)</x:f>
        <x:v>0</x:v>
      </x:c>
      <x:c r="L150" s="11"/>
      <x:c r="M150" s="11"/>
      <x:c r="N150" s="11"/>
      <x:c r="O150" s="11"/>
      <x:c r="P150" s="11"/>
      <x:c r="Q150" s="11"/>
      <x:c r="T150"/>
    </x:row>
    <x:row r="151" ht="22.200000762939453" hidden="0">
      <x:c r="A151" s="10" t="s">
        <x:v>60</x:v>
      </x:c>
      <x:c r="B151" s="10"/>
      <x:c r="C151" s="10"/>
      <x:c r="D151" s="10"/>
      <x:c r="E151" s="10"/>
      <x:c r="F151" s="10"/>
      <x:c r="G151" s="10"/>
      <x:c r="H151" s="10" t="n">
        <x:v>6</x:v>
      </x:c>
      <x:c r="I151" s="11"/>
      <x:c r="J151" s="11"/>
      <x:c r="K151" s="11" t="n">
        <x:f aca="0">SUM(F151*H151)</x:f>
        <x:v>0</x:v>
      </x:c>
      <x:c r="L151" s="11"/>
      <x:c r="M151" s="11"/>
      <x:c r="N151" s="11"/>
      <x:c r="O151" s="11"/>
      <x:c r="P151" s="11"/>
      <x:c r="Q151" s="11"/>
      <x:c r="T151"/>
    </x:row>
    <x:row r="152" ht="22.200000762939453" hidden="0">
      <x:c r="A152" s="10" t="s">
        <x:v>61</x:v>
      </x:c>
      <x:c r="B152" s="10"/>
      <x:c r="C152" s="10"/>
      <x:c r="D152" s="10"/>
      <x:c r="E152" s="10"/>
      <x:c r="F152" s="10"/>
      <x:c r="G152" s="10"/>
      <x:c r="H152" s="10" t="n">
        <x:v>670</x:v>
      </x:c>
      <x:c r="I152" s="11"/>
      <x:c r="J152" s="11"/>
      <x:c r="K152" s="11" t="n">
        <x:f aca="0">SUM(F152*H152)</x:f>
        <x:v>0</x:v>
      </x:c>
      <x:c r="L152" s="11"/>
      <x:c r="M152" s="11"/>
      <x:c r="N152" s="11"/>
      <x:c r="O152" s="11"/>
      <x:c r="P152" s="11"/>
      <x:c r="Q152" s="11"/>
      <x:c r="T152"/>
    </x:row>
    <x:row r="153" ht="22.200000762939453" hidden="0">
      <x:c r="A153" s="10" t="s">
        <x:v>62</x:v>
      </x:c>
      <x:c r="B153" s="10"/>
      <x:c r="C153" s="10"/>
      <x:c r="D153" s="10"/>
      <x:c r="E153" s="10"/>
      <x:c r="F153" s="10"/>
      <x:c r="G153" s="10"/>
      <x:c r="H153" s="10" t="n">
        <x:v>110</x:v>
      </x:c>
      <x:c r="I153" s="11"/>
      <x:c r="J153" s="11"/>
      <x:c r="K153" s="11" t="n">
        <x:f aca="0">SUM(F153*H153)</x:f>
        <x:v>0</x:v>
      </x:c>
      <x:c r="L153" s="11"/>
      <x:c r="M153" s="11"/>
      <x:c r="N153" s="11"/>
      <x:c r="O153" s="11"/>
      <x:c r="P153" s="11"/>
      <x:c r="Q153" s="11"/>
      <x:c r="T153"/>
    </x:row>
    <x:row r="154" ht="22.200000762939453" hidden="0">
      <x:c r="A154" s="10" t="s">
        <x:v>63</x:v>
      </x:c>
      <x:c r="B154" s="10"/>
      <x:c r="C154" s="10"/>
      <x:c r="D154" s="10"/>
      <x:c r="E154" s="10"/>
      <x:c r="F154" s="10"/>
      <x:c r="G154" s="10"/>
      <x:c r="H154" s="10"/>
      <x:c r="I154" s="11"/>
      <x:c r="J154" s="11"/>
      <x:c r="K154" s="11" t="n">
        <x:f aca="0">SUM(F154*H154)</x:f>
        <x:v>0</x:v>
      </x:c>
      <x:c r="L154" s="11"/>
      <x:c r="M154" s="11"/>
      <x:c r="N154" s="11"/>
      <x:c r="O154" s="11"/>
      <x:c r="P154" s="11"/>
      <x:c r="Q154" s="11"/>
      <x:c r="T154"/>
    </x:row>
    <x:row r="155" ht="22.200000762939453" hidden="0">
      <x:c r="A155" s="10"/>
      <x:c r="B155" s="10"/>
      <x:c r="C155" s="10"/>
      <x:c r="D155" s="10"/>
      <x:c r="E155" s="10"/>
      <x:c r="F155" s="10"/>
      <x:c r="G155" s="10"/>
      <x:c r="H155" s="10"/>
      <x:c r="I155" s="11"/>
      <x:c r="J155" s="11"/>
      <x:c r="K155" s="11" t="n">
        <x:f aca="0">SUM(F155*H155)</x:f>
        <x:v>0</x:v>
      </x:c>
      <x:c r="L155" s="11"/>
      <x:c r="M155" s="11"/>
      <x:c r="N155" s="11"/>
      <x:c r="O155" s="11"/>
      <x:c r="P155" s="11"/>
      <x:c r="Q155" s="11"/>
      <x:c r="T155"/>
    </x:row>
    <x:row r="156" ht="22.200000762939453" hidden="0">
      <x:c r="A156" s="15"/>
      <x:c r="B156" s="15"/>
      <x:c r="C156" s="15"/>
      <x:c r="D156" s="15"/>
      <x:c r="E156" s="15"/>
      <x:c r="F156" s="15"/>
      <x:c r="G156" s="15"/>
      <x:c r="H156" s="15"/>
      <x:c r="I156" s="11" t="n">
        <x:f aca="0">SUM(B156*C156)/90000</x:f>
        <x:v>0</x:v>
      </x:c>
      <x:c r="J156" s="15" t="s">
        <x:v>17</x:v>
      </x:c>
      <x:c r="K156" s="16" t="n">
        <x:f aca="0">SUM(K83:K155)</x:f>
        <x:v>22340.2</x:v>
      </x:c>
      <x:c r="L156" s="16">
        <x:f aca="0"/>
      </x:c>
      <x:c r="M156" s="16"/>
      <x:c r="N156" s="16" t="n">
        <x:f aca="0">SUM(M156*1.25)</x:f>
        <x:v>0</x:v>
      </x:c>
      <x:c r="O156" s="16"/>
      <x:c r="P156" s="16"/>
      <x:c r="Q156" s="16"/>
      <x:c r="T156"/>
    </x:row>
    <x:row r="157">
      <x:c r="F157"/>
      <x:c r="L157"/>
    </x:row>
    <x:row r="158">
      <x:c r="F158"/>
      <x:c r="L158"/>
    </x:row>
    <x:row r="160" ht="22.200000762939453" hidden="0">
      <x:c r="A160" s="5"/>
      <x:c r="B160" s="5"/>
      <x:c r="C160" s="5"/>
      <x:c r="D160" s="5"/>
      <x:c r="E160" s="5"/>
      <x:c r="F160" s="5"/>
      <x:c r="G160" s="6"/>
      <x:c r="H160" s="5"/>
      <x:c r="I160" s="3"/>
      <x:c r="J160" s="3"/>
      <x:c r="K160" s="4"/>
      <x:c r="L160" s="4"/>
      <x:c r="M160" s="4"/>
      <x:c r="N160" s="4"/>
      <x:c r="O160" s="4"/>
      <x:c r="P160" s="4"/>
      <x:c r="Q160" s="4"/>
      <x:c r="R160" s="4"/>
    </x:row>
    <x:row r="161" ht="22.200000762939453" hidden="0">
      <x:c r="A161" s="7" t="s">
        <x:v>3</x:v>
      </x:c>
      <x:c r="B161" s="8" t="s">
        <x:v>4</x:v>
      </x:c>
      <x:c r="C161" s="8"/>
      <x:c r="D161" s="7" t="s">
        <x:v>5</x:v>
      </x:c>
      <x:c r="E161" s="7"/>
      <x:c r="F161" s="7" t="s">
        <x:v>6</x:v>
      </x:c>
      <x:c r="G161" s="7"/>
      <x:c r="H161" s="7" t="s">
        <x:v>7</x:v>
      </x:c>
      <x:c r="I161" s="7" t="s">
        <x:v>8</x:v>
      </x:c>
      <x:c r="J161" s="7" t="s">
        <x:v>9</x:v>
      </x:c>
      <x:c r="K161" s="7" t="s">
        <x:v>10</x:v>
      </x:c>
      <x:c r="L161" s="7"/>
      <x:c r="M161" s="7" t="s">
        <x:v>11</x:v>
      </x:c>
      <x:c r="N161" s="7" t="s">
        <x:v>12</x:v>
      </x:c>
      <x:c r="O161" s="7" t="s">
        <x:v>6</x:v>
      </x:c>
      <x:c r="P161" s="7" t="s">
        <x:v>13</x:v>
      </x:c>
      <x:c r="Q161" s="7" t="s">
        <x:v>14</x:v>
      </x:c>
      <x:c r="R161" s="9" t="s">
        <x:v>15</x:v>
      </x:c>
      <x:c r="S161" s="9" t="s">
        <x:v>16</x:v>
      </x:c>
      <x:c r="T161"/>
    </x:row>
    <x:row r="162" ht="22.200000762939453" hidden="0">
      <x:c r="A162" s="10" t="s">
        <x:v>18</x:v>
      </x:c>
      <x:c r="B162" s="10"/>
      <x:c r="C162" s="10"/>
      <x:c r="D162" s="10" t="n">
        <x:v>18</x:v>
      </x:c>
      <x:c r="E162" s="10"/>
      <x:c r="F162" s="10"/>
      <x:c r="G162" s="10"/>
      <x:c r="H162" s="10" t="n">
        <x:v>69</x:v>
      </x:c>
      <x:c r="I162" s="11" t="n">
        <x:f aca="0">ROUND((IF((B162*C162)/90000&lt;1,1))+IF((B162*C162)/90000&gt;=1,(B162*C162)/90000),1.1)</x:f>
        <x:v>1</x:v>
      </x:c>
      <x:c r="J162" s="11" t="n">
        <x:f aca="0">SUM(F162*I162)</x:f>
        <x:v>0</x:v>
      </x:c>
      <x:c r="K162" s="11" t="n">
        <x:f aca="0">SUM(H162*J162)</x:f>
        <x:v>0</x:v>
      </x:c>
      <x:c r="L162" s="11"/>
      <x:c r="M162" s="11" t="n">
        <x:f aca="0">SUM(C162-1)</x:f>
        <x:v>-1</x:v>
      </x:c>
      <x:c r="N162" s="11" t="n">
        <x:f aca="0">SUM(B162-1)</x:f>
        <x:v>-1</x:v>
      </x:c>
      <x:c r="O162" s="11" t="n">
        <x:f aca="0">SUM(F162*1)</x:f>
        <x:v>0</x:v>
      </x:c>
      <x:c r="P162" s="11"/>
      <x:c r="Q162" s="11" t="str">
        <x:f aca="0">A162</x:f>
        <x:v>側板</x:v>
      </x:c>
      <x:c r="R162" s="1" t="n">
        <x:f aca="0">SUM(B162*2+C162*2)*F162</x:f>
        <x:v>0</x:v>
      </x:c>
      <x:c r="T162"/>
    </x:row>
    <x:row r="163" ht="22.200000762939453" hidden="0">
      <x:c r="A163" s="10" t="s">
        <x:v>18</x:v>
      </x:c>
      <x:c r="B163" s="10"/>
      <x:c r="C163" s="10"/>
      <x:c r="D163" s="10" t="n">
        <x:v>18</x:v>
      </x:c>
      <x:c r="E163" s="10"/>
      <x:c r="F163" s="10"/>
      <x:c r="G163" s="10"/>
      <x:c r="H163" s="10" t="n">
        <x:v>69</x:v>
      </x:c>
      <x:c r="I163" s="11" t="n">
        <x:f aca="0">ROUND((IF((B163*C163)/90000&lt;1,1))+IF((B163*C163)/90000&gt;=1,(B163*C163)/90000),1.1)</x:f>
        <x:v>1</x:v>
      </x:c>
      <x:c r="J163" s="11" t="n">
        <x:f aca="0">SUM(F163*I163)</x:f>
        <x:v>0</x:v>
      </x:c>
      <x:c r="K163" s="11" t="n">
        <x:f aca="0">SUM(H163*J163)</x:f>
        <x:v>0</x:v>
      </x:c>
      <x:c r="L163" s="11"/>
      <x:c r="M163" s="11" t="n">
        <x:f aca="0">SUM(C163-1)</x:f>
        <x:v>-1</x:v>
      </x:c>
      <x:c r="N163" s="11" t="n">
        <x:f aca="0">SUM(B163-1)</x:f>
        <x:v>-1</x:v>
      </x:c>
      <x:c r="O163" s="11" t="n">
        <x:f aca="0">SUM(F163*1)</x:f>
        <x:v>0</x:v>
      </x:c>
      <x:c r="P163" s="11"/>
      <x:c r="Q163" s="11" t="str">
        <x:f aca="0">A163</x:f>
        <x:v>側板</x:v>
      </x:c>
      <x:c r="R163" s="1" t="n">
        <x:f aca="0">SUM(B163*2+C163*2)*F163</x:f>
        <x:v>0</x:v>
      </x:c>
      <x:c r="T163"/>
    </x:row>
    <x:row r="164" ht="22.200000762939453" hidden="0">
      <x:c r="A164" s="10" t="s">
        <x:v>18</x:v>
      </x:c>
      <x:c r="B164" s="10"/>
      <x:c r="C164" s="10"/>
      <x:c r="D164" s="10" t="n">
        <x:v>18</x:v>
      </x:c>
      <x:c r="E164" s="10"/>
      <x:c r="F164" s="10"/>
      <x:c r="G164" s="10"/>
      <x:c r="H164" s="10" t="n">
        <x:v>69</x:v>
      </x:c>
      <x:c r="I164" s="11" t="n">
        <x:f aca="0">ROUND((IF((B164*C164)/90000&lt;1,1))+IF((B164*C164)/90000&gt;=1,(B164*C164)/90000),1.1)</x:f>
        <x:v>1</x:v>
      </x:c>
      <x:c r="J164" s="11" t="n">
        <x:f aca="0">SUM(F164*I164)</x:f>
        <x:v>0</x:v>
      </x:c>
      <x:c r="K164" s="11" t="n">
        <x:f aca="0">SUM(H164*J164)</x:f>
        <x:v>0</x:v>
      </x:c>
      <x:c r="L164" s="11"/>
      <x:c r="M164" s="11" t="n">
        <x:f aca="0">SUM(C164-1)</x:f>
        <x:v>-1</x:v>
      </x:c>
      <x:c r="N164" s="11" t="n">
        <x:f aca="0">SUM(B164-1)</x:f>
        <x:v>-1</x:v>
      </x:c>
      <x:c r="O164" s="11" t="n">
        <x:f aca="0">SUM(F164*1)</x:f>
        <x:v>0</x:v>
      </x:c>
      <x:c r="P164" s="11"/>
      <x:c r="Q164" s="11" t="str">
        <x:f aca="0">A164</x:f>
        <x:v>側板</x:v>
      </x:c>
      <x:c r="R164" s="1" t="n">
        <x:f aca="0">SUM(B164*2+C164*2)*F164</x:f>
        <x:v>0</x:v>
      </x:c>
      <x:c r="T164"/>
    </x:row>
    <x:row r="165" ht="22.200000762939453" hidden="0">
      <x:c r="A165" s="10" t="s">
        <x:v>19</x:v>
      </x:c>
      <x:c r="B165" s="10"/>
      <x:c r="C165" s="10"/>
      <x:c r="D165" s="10" t="n">
        <x:v>18</x:v>
      </x:c>
      <x:c r="E165" s="10"/>
      <x:c r="F165" s="10"/>
      <x:c r="G165" s="10"/>
      <x:c r="H165" s="10" t="n">
        <x:v>69</x:v>
      </x:c>
      <x:c r="I165" s="11" t="n">
        <x:f aca="0">ROUND((IF((B165*C165)/90000&lt;1,1))+IF((B165*C165)/90000&gt;=1,(B165*C165)/90000),1.1)</x:f>
        <x:v>1</x:v>
      </x:c>
      <x:c r="J165" s="11" t="n">
        <x:f aca="0">SUM(F165*I165)</x:f>
        <x:v>0</x:v>
      </x:c>
      <x:c r="K165" s="11" t="n">
        <x:f aca="0">SUM(H165*J165)</x:f>
        <x:v>0</x:v>
      </x:c>
      <x:c r="L165" s="11"/>
      <x:c r="M165" s="11" t="n">
        <x:f aca="0">SUM(C165)</x:f>
        <x:v>0</x:v>
      </x:c>
      <x:c r="N165" s="11" t="n">
        <x:f aca="0">SUM(B165-1)</x:f>
        <x:v>-1</x:v>
      </x:c>
      <x:c r="O165" s="11" t="n">
        <x:f aca="0">SUM(F165*1)</x:f>
        <x:v>0</x:v>
      </x:c>
      <x:c r="P165" s="11"/>
      <x:c r="Q165" s="11" t="str">
        <x:f aca="0">A165</x:f>
        <x:v>頂底板</x:v>
      </x:c>
      <x:c r="R165" s="1" t="n">
        <x:f aca="0">SUM(C165*2)*F165</x:f>
        <x:v>0</x:v>
      </x:c>
      <x:c r="T165"/>
    </x:row>
    <x:row r="166" ht="22.200000762939453" hidden="0">
      <x:c r="A166" s="10" t="s">
        <x:v>19</x:v>
      </x:c>
      <x:c r="B166" s="10"/>
      <x:c r="C166" s="10"/>
      <x:c r="D166" s="10" t="n">
        <x:v>18</x:v>
      </x:c>
      <x:c r="E166" s="10"/>
      <x:c r="F166" s="10"/>
      <x:c r="G166" s="10"/>
      <x:c r="H166" s="10" t="n">
        <x:v>69</x:v>
      </x:c>
      <x:c r="I166" s="11" t="n">
        <x:f aca="0">ROUND((IF((B166*C166)/90000&lt;1,1))+IF((B166*C166)/90000&gt;=1,(B166*C166)/90000),1.1)</x:f>
        <x:v>1</x:v>
      </x:c>
      <x:c r="J166" s="11" t="n">
        <x:f aca="0">SUM(F166*I166)</x:f>
        <x:v>0</x:v>
      </x:c>
      <x:c r="K166" s="11" t="n">
        <x:f aca="0">SUM(H166*J166)</x:f>
        <x:v>0</x:v>
      </x:c>
      <x:c r="L166" s="11"/>
      <x:c r="M166" s="11" t="n">
        <x:f aca="0">SUM(C166)</x:f>
        <x:v>0</x:v>
      </x:c>
      <x:c r="N166" s="11" t="n">
        <x:f aca="0">SUM(B166-1)</x:f>
        <x:v>-1</x:v>
      </x:c>
      <x:c r="O166" s="11" t="n">
        <x:f aca="0">SUM(F166*1)</x:f>
        <x:v>0</x:v>
      </x:c>
      <x:c r="P166" s="11"/>
      <x:c r="Q166" s="11" t="str">
        <x:f aca="0">A166</x:f>
        <x:v>頂底板</x:v>
      </x:c>
      <x:c r="R166" s="1" t="n">
        <x:f aca="0">SUM(C166*2)*F166</x:f>
        <x:v>0</x:v>
      </x:c>
      <x:c r="T166"/>
    </x:row>
    <x:row r="167" ht="22.200000762939453" hidden="0">
      <x:c r="A167" s="10" t="s">
        <x:v>19</x:v>
      </x:c>
      <x:c r="B167" s="10"/>
      <x:c r="C167" s="10"/>
      <x:c r="D167" s="10" t="n">
        <x:v>18</x:v>
      </x:c>
      <x:c r="E167" s="10"/>
      <x:c r="F167" s="10"/>
      <x:c r="G167" s="10"/>
      <x:c r="H167" s="10" t="n">
        <x:v>69</x:v>
      </x:c>
      <x:c r="I167" s="11" t="n">
        <x:f aca="0">ROUND((IF((B167*C167)/90000&lt;1,1))+IF((B167*C167)/90000&gt;=1,(B167*C167)/90000),1.1)</x:f>
        <x:v>1</x:v>
      </x:c>
      <x:c r="J167" s="11" t="n">
        <x:f aca="0">SUM(F167*I167)</x:f>
        <x:v>0</x:v>
      </x:c>
      <x:c r="K167" s="11" t="n">
        <x:f aca="0">SUM(H167*J167)</x:f>
        <x:v>0</x:v>
      </x:c>
      <x:c r="L167" s="11"/>
      <x:c r="M167" s="11" t="n">
        <x:f aca="0">SUM(C167)</x:f>
        <x:v>0</x:v>
      </x:c>
      <x:c r="N167" s="11" t="n">
        <x:f aca="0">SUM(B167-1)</x:f>
        <x:v>-1</x:v>
      </x:c>
      <x:c r="O167" s="11" t="n">
        <x:f aca="0">SUM(F167*1)</x:f>
        <x:v>0</x:v>
      </x:c>
      <x:c r="P167" s="11"/>
      <x:c r="Q167" s="11" t="str">
        <x:f aca="0">A167</x:f>
        <x:v>頂底板</x:v>
      </x:c>
      <x:c r="R167" s="1" t="n">
        <x:f aca="0">SUM(C167*2)*F167</x:f>
        <x:v>0</x:v>
      </x:c>
      <x:c r="T167"/>
    </x:row>
    <x:row r="168" ht="22.200000762939453" hidden="0">
      <x:c r="A168" s="10" t="s">
        <x:v>20</x:v>
      </x:c>
      <x:c r="B168" s="10"/>
      <x:c r="C168" s="10"/>
      <x:c r="D168" s="10" t="n">
        <x:v>18</x:v>
      </x:c>
      <x:c r="E168" s="10"/>
      <x:c r="F168" s="10"/>
      <x:c r="G168" s="10"/>
      <x:c r="H168" s="10" t="n">
        <x:v>74</x:v>
      </x:c>
      <x:c r="I168" s="11" t="n">
        <x:f aca="0">ROUND((IF((B168*C168)/90000&lt;1,1))+IF((B168*C168)/90000&gt;=1,(B168*C168)/90000),1.1)</x:f>
        <x:v>1</x:v>
      </x:c>
      <x:c r="J168" s="11" t="n">
        <x:f aca="0">SUM(F168*I168)</x:f>
        <x:v>0</x:v>
      </x:c>
      <x:c r="K168" s="11" t="n">
        <x:f aca="0">SUM(H168*J168)</x:f>
        <x:v>0</x:v>
      </x:c>
      <x:c r="L168" s="11"/>
      <x:c r="M168" s="11" t="n">
        <x:f aca="0">SUM(C168)</x:f>
        <x:v>0</x:v>
      </x:c>
      <x:c r="N168" s="11" t="n">
        <x:f aca="0">SUM(B168-1)</x:f>
        <x:v>-1</x:v>
      </x:c>
      <x:c r="O168" s="11" t="n">
        <x:f aca="0">SUM(F168*1)</x:f>
        <x:v>0</x:v>
      </x:c>
      <x:c r="P168" s="11"/>
      <x:c r="Q168" s="11" t="str">
        <x:f aca="0">A168</x:f>
        <x:v>中立板</x:v>
      </x:c>
      <x:c r="R168" s="1" t="n">
        <x:f aca="0">SUM(C168*1)*F168</x:f>
        <x:v>0</x:v>
      </x:c>
      <x:c r="T168"/>
    </x:row>
    <x:row r="169" ht="22.200000762939453" hidden="0">
      <x:c r="A169" s="10" t="s">
        <x:v>20</x:v>
      </x:c>
      <x:c r="B169" s="10"/>
      <x:c r="C169" s="10"/>
      <x:c r="D169" s="10" t="n">
        <x:v>18</x:v>
      </x:c>
      <x:c r="E169" s="10"/>
      <x:c r="F169" s="10"/>
      <x:c r="G169" s="10"/>
      <x:c r="H169" s="10" t="n">
        <x:v>74</x:v>
      </x:c>
      <x:c r="I169" s="11" t="n">
        <x:f aca="0">ROUND((IF((B169*C169)/90000&lt;1,1))+IF((B169*C169)/90000&gt;=1,(B169*C169)/90000),1.1)</x:f>
        <x:v>1</x:v>
      </x:c>
      <x:c r="J169" s="11" t="n">
        <x:f aca="0">SUM(F169*I169)</x:f>
        <x:v>0</x:v>
      </x:c>
      <x:c r="K169" s="11" t="n">
        <x:f aca="0">SUM(H169*J169)</x:f>
        <x:v>0</x:v>
      </x:c>
      <x:c r="L169" s="11"/>
      <x:c r="M169" s="11" t="n">
        <x:f aca="0">SUM(C169)</x:f>
        <x:v>0</x:v>
      </x:c>
      <x:c r="N169" s="11" t="n">
        <x:f aca="0">SUM(B169-1)</x:f>
        <x:v>-1</x:v>
      </x:c>
      <x:c r="O169" s="11" t="n">
        <x:f aca="0">SUM(F169*1)</x:f>
        <x:v>0</x:v>
      </x:c>
      <x:c r="P169" s="11"/>
      <x:c r="Q169" s="11" t="str">
        <x:f aca="0">A169</x:f>
        <x:v>中立板</x:v>
      </x:c>
      <x:c r="R169" s="1" t="n">
        <x:f aca="0">SUM(C169*1)*F169</x:f>
        <x:v>0</x:v>
      </x:c>
      <x:c r="T169"/>
    </x:row>
    <x:row r="170" ht="22.200000762939453" hidden="0">
      <x:c r="A170" s="10" t="s">
        <x:v>21</x:v>
      </x:c>
      <x:c r="B170" s="10"/>
      <x:c r="C170" s="10"/>
      <x:c r="D170" s="10" t="n">
        <x:v>18</x:v>
      </x:c>
      <x:c r="E170" s="10"/>
      <x:c r="F170" s="10"/>
      <x:c r="G170" s="10"/>
      <x:c r="H170" s="10" t="n">
        <x:v>69</x:v>
      </x:c>
      <x:c r="I170" s="11" t="n">
        <x:f aca="0">ROUND((IF((B170*C170)/90000&lt;1,1))+IF((B170*C170)/90000&gt;=1,(B170*C170)/90000),1.1)</x:f>
        <x:v>1</x:v>
      </x:c>
      <x:c r="J170" s="11" t="n">
        <x:f aca="0">SUM(F170*I170)</x:f>
        <x:v>0</x:v>
      </x:c>
      <x:c r="K170" s="11" t="n">
        <x:f aca="0">SUM(H170*J170)</x:f>
        <x:v>0</x:v>
      </x:c>
      <x:c r="L170" s="11"/>
      <x:c r="M170" s="11" t="n">
        <x:f aca="0">SUM(C170)</x:f>
        <x:v>0</x:v>
      </x:c>
      <x:c r="N170" s="11" t="n">
        <x:f aca="0">SUM(B170-1)</x:f>
        <x:v>-1</x:v>
      </x:c>
      <x:c r="O170" s="11" t="n">
        <x:f aca="0">SUM(F170*1)</x:f>
        <x:v>0</x:v>
      </x:c>
      <x:c r="P170" s="11"/>
      <x:c r="Q170" s="11" t="str">
        <x:f aca="0">A170</x:f>
        <x:v>固格板</x:v>
      </x:c>
      <x:c r="R170" s="1" t="n">
        <x:f aca="0">SUM(C170*1)*F170</x:f>
        <x:v>0</x:v>
      </x:c>
      <x:c r="T170"/>
    </x:row>
    <x:row r="171" ht="22.200000762939453" hidden="0">
      <x:c r="A171" s="10" t="s">
        <x:v>21</x:v>
      </x:c>
      <x:c r="B171" s="10"/>
      <x:c r="C171" s="10"/>
      <x:c r="D171" s="10" t="n">
        <x:v>18</x:v>
      </x:c>
      <x:c r="E171" s="10"/>
      <x:c r="F171" s="10"/>
      <x:c r="G171" s="10"/>
      <x:c r="H171" s="10" t="n">
        <x:v>69</x:v>
      </x:c>
      <x:c r="I171" s="11" t="n">
        <x:f aca="0">ROUND((IF((B171*C171)/90000&lt;1,1))+IF((B171*C171)/90000&gt;=1,(B171*C171)/90000),1.1)</x:f>
        <x:v>1</x:v>
      </x:c>
      <x:c r="J171" s="11" t="n">
        <x:f aca="0">SUM(F171*I171)</x:f>
        <x:v>0</x:v>
      </x:c>
      <x:c r="K171" s="11" t="n">
        <x:f aca="0">SUM(H171*J171)</x:f>
        <x:v>0</x:v>
      </x:c>
      <x:c r="L171" s="11"/>
      <x:c r="M171" s="11" t="n">
        <x:f aca="0">SUM(C171)</x:f>
        <x:v>0</x:v>
      </x:c>
      <x:c r="N171" s="11" t="n">
        <x:f aca="0">SUM(B171-1)</x:f>
        <x:v>-1</x:v>
      </x:c>
      <x:c r="O171" s="11" t="n">
        <x:f aca="0">SUM(F171*1)</x:f>
        <x:v>0</x:v>
      </x:c>
      <x:c r="P171" s="11"/>
      <x:c r="Q171" s="11" t="str">
        <x:f aca="0">A171</x:f>
        <x:v>固格板</x:v>
      </x:c>
      <x:c r="R171" s="1" t="n">
        <x:f aca="0">SUM(C171*1)*F171</x:f>
        <x:v>0</x:v>
      </x:c>
      <x:c r="T171"/>
    </x:row>
    <x:row r="172" ht="22.200000762939453" hidden="0">
      <x:c r="A172" s="10" t="s">
        <x:v>21</x:v>
      </x:c>
      <x:c r="B172" s="10"/>
      <x:c r="C172" s="10"/>
      <x:c r="D172" s="10" t="n">
        <x:v>18</x:v>
      </x:c>
      <x:c r="E172" s="10"/>
      <x:c r="F172" s="10"/>
      <x:c r="G172" s="10"/>
      <x:c r="H172" s="10" t="n">
        <x:v>69</x:v>
      </x:c>
      <x:c r="I172" s="11" t="n">
        <x:f aca="0">ROUND((IF((B172*C172)/90000&lt;1,1))+IF((B172*C172)/90000&gt;=1,(B172*C172)/90000),1.1)</x:f>
        <x:v>1</x:v>
      </x:c>
      <x:c r="J172" s="11" t="n">
        <x:f aca="0">SUM(F172*I172)</x:f>
        <x:v>0</x:v>
      </x:c>
      <x:c r="K172" s="11" t="n">
        <x:f aca="0">SUM(H172*J172)</x:f>
        <x:v>0</x:v>
      </x:c>
      <x:c r="L172" s="11"/>
      <x:c r="M172" s="11" t="n">
        <x:f aca="0">SUM(C172)</x:f>
        <x:v>0</x:v>
      </x:c>
      <x:c r="N172" s="11" t="n">
        <x:f aca="0">SUM(B172-1)</x:f>
        <x:v>-1</x:v>
      </x:c>
      <x:c r="O172" s="11" t="n">
        <x:f aca="0">SUM(F172*1)</x:f>
        <x:v>0</x:v>
      </x:c>
      <x:c r="P172" s="11"/>
      <x:c r="Q172" s="11" t="str">
        <x:f aca="0">A172</x:f>
        <x:v>固格板</x:v>
      </x:c>
      <x:c r="R172" s="1" t="n">
        <x:f aca="0">SUM(C172*1)*F172</x:f>
        <x:v>0</x:v>
      </x:c>
      <x:c r="T172"/>
    </x:row>
    <x:row r="173" ht="22.200000762939453" hidden="0">
      <x:c r="A173" s="10" t="s">
        <x:v>22</x:v>
      </x:c>
      <x:c r="B173" s="10"/>
      <x:c r="C173" s="10"/>
      <x:c r="D173" s="10" t="n">
        <x:v>18</x:v>
      </x:c>
      <x:c r="E173" s="10"/>
      <x:c r="F173" s="10"/>
      <x:c r="G173" s="10"/>
      <x:c r="H173" s="10" t="n">
        <x:v>69</x:v>
      </x:c>
      <x:c r="I173" s="11" t="n">
        <x:f aca="0">ROUND((IF((B173*C173)/90000&lt;1,1))+IF((B173*C173)/90000&gt;=1,(B173*C173)/90000),1.1)</x:f>
        <x:v>1</x:v>
      </x:c>
      <x:c r="J173" s="11" t="n">
        <x:f aca="0">SUM(F173*I173)</x:f>
        <x:v>0</x:v>
      </x:c>
      <x:c r="K173" s="11" t="n">
        <x:f aca="0">SUM(H173*J173)</x:f>
        <x:v>0</x:v>
      </x:c>
      <x:c r="L173" s="11"/>
      <x:c r="M173" s="11" t="n">
        <x:f aca="0">SUM(C173-1)</x:f>
        <x:v>-1</x:v>
      </x:c>
      <x:c r="N173" s="11" t="n">
        <x:f aca="0">SUM(B173-1)</x:f>
        <x:v>-1</x:v>
      </x:c>
      <x:c r="O173" s="11" t="n">
        <x:f aca="0">SUM(F173*1)</x:f>
        <x:v>0</x:v>
      </x:c>
      <x:c r="P173" s="11"/>
      <x:c r="Q173" s="11" t="str">
        <x:f aca="0">A173</x:f>
        <x:v>活格板</x:v>
      </x:c>
      <x:c r="R173" s="1" t="n">
        <x:f aca="0">SUM(B173*2+C173*2)*F173</x:f>
        <x:v>0</x:v>
      </x:c>
      <x:c r="T173"/>
    </x:row>
    <x:row r="174" ht="22.200000762939453" hidden="0">
      <x:c r="A174" s="10" t="s">
        <x:v>22</x:v>
      </x:c>
      <x:c r="B174" s="10"/>
      <x:c r="C174" s="10"/>
      <x:c r="D174" s="10" t="n">
        <x:v>18</x:v>
      </x:c>
      <x:c r="E174" s="10"/>
      <x:c r="F174" s="10"/>
      <x:c r="G174" s="10"/>
      <x:c r="H174" s="10" t="n">
        <x:v>69</x:v>
      </x:c>
      <x:c r="I174" s="11" t="n">
        <x:f aca="0">ROUND((IF((B174*C174)/90000&lt;1,1))+IF((B174*C174)/90000&gt;=1,(B174*C174)/90000),1.1)</x:f>
        <x:v>1</x:v>
      </x:c>
      <x:c r="J174" s="11" t="n">
        <x:f aca="0">SUM(F174*I174)</x:f>
        <x:v>0</x:v>
      </x:c>
      <x:c r="K174" s="11" t="n">
        <x:f aca="0">SUM(H174*J174)</x:f>
        <x:v>0</x:v>
      </x:c>
      <x:c r="L174" s="11"/>
      <x:c r="M174" s="11" t="n">
        <x:f aca="0">SUM(C174-1)</x:f>
        <x:v>-1</x:v>
      </x:c>
      <x:c r="N174" s="11" t="n">
        <x:f aca="0">SUM(B174-1)</x:f>
        <x:v>-1</x:v>
      </x:c>
      <x:c r="O174" s="11" t="n">
        <x:f aca="0">SUM(F174*1)</x:f>
        <x:v>0</x:v>
      </x:c>
      <x:c r="P174" s="11"/>
      <x:c r="Q174" s="11" t="str">
        <x:f aca="0">A174</x:f>
        <x:v>活格板</x:v>
      </x:c>
      <x:c r="R174" s="1" t="n">
        <x:f aca="0">SUM(B174*2+C174*2)*F174</x:f>
        <x:v>0</x:v>
      </x:c>
      <x:c r="T174"/>
    </x:row>
    <x:row r="175" ht="22.200000762939453" hidden="0">
      <x:c r="A175" s="10" t="s">
        <x:v>22</x:v>
      </x:c>
      <x:c r="B175" s="10"/>
      <x:c r="C175" s="10"/>
      <x:c r="D175" s="10" t="n">
        <x:v>18</x:v>
      </x:c>
      <x:c r="E175" s="10"/>
      <x:c r="F175" s="10"/>
      <x:c r="G175" s="10"/>
      <x:c r="H175" s="10" t="n">
        <x:v>69</x:v>
      </x:c>
      <x:c r="I175" s="11" t="n">
        <x:f aca="0">ROUND((IF((B175*C175)/90000&lt;1,1))+IF((B175*C175)/90000&gt;=1,(B175*C175)/90000),1.1)</x:f>
        <x:v>1</x:v>
      </x:c>
      <x:c r="J175" s="11" t="n">
        <x:f aca="0">SUM(F175*I175)</x:f>
        <x:v>0</x:v>
      </x:c>
      <x:c r="K175" s="11" t="n">
        <x:f aca="0">SUM(H175*J175)</x:f>
        <x:v>0</x:v>
      </x:c>
      <x:c r="L175" s="11"/>
      <x:c r="M175" s="11" t="n">
        <x:f aca="0">SUM(C175-1)</x:f>
        <x:v>-1</x:v>
      </x:c>
      <x:c r="N175" s="11" t="n">
        <x:f aca="0">SUM(B175-1)</x:f>
        <x:v>-1</x:v>
      </x:c>
      <x:c r="O175" s="11" t="n">
        <x:f aca="0">SUM(F175*1)</x:f>
        <x:v>0</x:v>
      </x:c>
      <x:c r="P175" s="11"/>
      <x:c r="Q175" s="11" t="str">
        <x:f aca="0">A175</x:f>
        <x:v>活格板</x:v>
      </x:c>
      <x:c r="R175" s="1" t="n">
        <x:f aca="0">SUM(B175*2+C175*2)*F175</x:f>
        <x:v>0</x:v>
      </x:c>
      <x:c r="T175"/>
    </x:row>
    <x:row r="176" ht="22.200000762939453" hidden="0">
      <x:c r="A176" s="10" t="s">
        <x:v>22</x:v>
      </x:c>
      <x:c r="B176" s="10"/>
      <x:c r="C176" s="10"/>
      <x:c r="D176" s="10" t="n">
        <x:v>18</x:v>
      </x:c>
      <x:c r="E176" s="10"/>
      <x:c r="F176" s="10"/>
      <x:c r="G176" s="10"/>
      <x:c r="H176" s="10" t="n">
        <x:v>69</x:v>
      </x:c>
      <x:c r="I176" s="11" t="n">
        <x:f aca="0">ROUND((IF((B176*C176)/90000&lt;1,1))+IF((B176*C176)/90000&gt;=1,(B176*C176)/90000),1.1)</x:f>
        <x:v>1</x:v>
      </x:c>
      <x:c r="J176" s="11" t="n">
        <x:f aca="0">SUM(F176*I176)</x:f>
        <x:v>0</x:v>
      </x:c>
      <x:c r="K176" s="11" t="n">
        <x:f aca="0">SUM(H176*J176)</x:f>
        <x:v>0</x:v>
      </x:c>
      <x:c r="L176" s="11"/>
      <x:c r="M176" s="11" t="n">
        <x:f aca="0">SUM(C176-1)</x:f>
        <x:v>-1</x:v>
      </x:c>
      <x:c r="N176" s="11" t="n">
        <x:f aca="0">SUM(B176-1)</x:f>
        <x:v>-1</x:v>
      </x:c>
      <x:c r="O176" s="11" t="n">
        <x:f aca="0">SUM(F176*1)</x:f>
        <x:v>0</x:v>
      </x:c>
      <x:c r="P176" s="11"/>
      <x:c r="Q176" s="11" t="str">
        <x:f aca="0">A176</x:f>
        <x:v>活格板</x:v>
      </x:c>
      <x:c r="R176" s="1" t="n">
        <x:f aca="0">SUM(B176*2+C176*2)*F176</x:f>
        <x:v>0</x:v>
      </x:c>
      <x:c r="T176"/>
    </x:row>
    <x:row r="177" ht="22.200000762939453" hidden="0">
      <x:c r="A177" s="10" t="s">
        <x:v>23</x:v>
      </x:c>
      <x:c r="B177" s="10"/>
      <x:c r="C177" s="10"/>
      <x:c r="D177" s="10" t="n">
        <x:v>18</x:v>
      </x:c>
      <x:c r="E177" s="10"/>
      <x:c r="F177" s="10"/>
      <x:c r="G177" s="10"/>
      <x:c r="H177" s="10" t="n">
        <x:v>69</x:v>
      </x:c>
      <x:c r="I177" s="11" t="n">
        <x:f aca="0">ROUND((IF((B177*C177)/90000&lt;1,1))+IF((B177*C177)/90000&gt;=1,(B177*C177)/90000),1.1)</x:f>
        <x:v>1</x:v>
      </x:c>
      <x:c r="J177" s="11" t="n">
        <x:f aca="0">SUM(F177*I177)</x:f>
        <x:v>0</x:v>
      </x:c>
      <x:c r="K177" s="11" t="n">
        <x:f aca="0">SUM(H177*J177)</x:f>
        <x:v>0</x:v>
      </x:c>
      <x:c r="L177" s="11"/>
      <x:c r="M177" s="11" t="n">
        <x:f aca="0">SUM(C177-1)</x:f>
        <x:v>-1</x:v>
      </x:c>
      <x:c r="N177" s="11" t="n">
        <x:f aca="0">SUM(B177-1)</x:f>
        <x:v>-1</x:v>
      </x:c>
      <x:c r="O177" s="11" t="n">
        <x:f aca="0">SUM(F177*1)</x:f>
        <x:v>0</x:v>
      </x:c>
      <x:c r="P177" s="11"/>
      <x:c r="Q177" s="11" t="str">
        <x:f aca="0">A177</x:f>
        <x:v>抽框</x:v>
      </x:c>
      <x:c r="R177" s="1" t="n">
        <x:f aca="0">SUM(B177*2+C177*2)*F177</x:f>
        <x:v>0</x:v>
      </x:c>
      <x:c r="T177"/>
    </x:row>
    <x:row r="178" ht="22.200000762939453" hidden="0">
      <x:c r="A178" s="10" t="s">
        <x:v>24</x:v>
      </x:c>
      <x:c r="B178" s="10"/>
      <x:c r="C178" s="10"/>
      <x:c r="D178" s="10" t="n">
        <x:v>18</x:v>
      </x:c>
      <x:c r="E178" s="10"/>
      <x:c r="F178" s="10"/>
      <x:c r="G178" s="10"/>
      <x:c r="H178" s="10" t="n">
        <x:v>69</x:v>
      </x:c>
      <x:c r="I178" s="11" t="n">
        <x:f aca="0">ROUND((IF((B178*C178)/90000&lt;1,1))+IF((B178*C178)/90000&gt;=1,(B178*C178)/90000),1.1)</x:f>
        <x:v>1</x:v>
      </x:c>
      <x:c r="J178" s="11" t="n">
        <x:f aca="0">SUM(F178*I178)</x:f>
        <x:v>0</x:v>
      </x:c>
      <x:c r="K178" s="11" t="n">
        <x:f aca="0">SUM(H178*J178)</x:f>
        <x:v>0</x:v>
      </x:c>
      <x:c r="L178" s="11"/>
      <x:c r="M178" s="11" t="n">
        <x:f aca="0">SUM(C178-1)</x:f>
        <x:v>-1</x:v>
      </x:c>
      <x:c r="N178" s="11" t="n">
        <x:f aca="0">SUM(B178-1)</x:f>
        <x:v>-1</x:v>
      </x:c>
      <x:c r="O178" s="11" t="n">
        <x:f aca="0">SUM(F178*1)</x:f>
        <x:v>0</x:v>
      </x:c>
      <x:c r="P178" s="11"/>
      <x:c r="Q178" s="11" t="str">
        <x:f aca="0">A178</x:f>
        <x:v>框中立</x:v>
      </x:c>
      <x:c r="R178" s="1" t="n">
        <x:f aca="0">SUM(B178*2+C178*2)*F178</x:f>
        <x:v>0</x:v>
      </x:c>
      <x:c r="T178"/>
    </x:row>
    <x:row r="179" ht="22.200000762939453" hidden="0">
      <x:c r="A179" s="10" t="s">
        <x:v>25</x:v>
      </x:c>
      <x:c r="B179" s="10"/>
      <x:c r="C179" s="10"/>
      <x:c r="D179" s="10" t="n">
        <x:v>18</x:v>
      </x:c>
      <x:c r="E179" s="10"/>
      <x:c r="F179" s="10"/>
      <x:c r="G179" s="10"/>
      <x:c r="H179" s="10" t="n">
        <x:v>69</x:v>
      </x:c>
      <x:c r="I179" s="11" t="n">
        <x:f aca="0">ROUND((IF((B179*C179)/90000&lt;1,1))+IF((B179*C179)/90000&gt;=1,(B179*C179)/90000),1.1)</x:f>
        <x:v>1</x:v>
      </x:c>
      <x:c r="J179" s="11" t="n">
        <x:f aca="0">SUM(F179*I179)</x:f>
        <x:v>0</x:v>
      </x:c>
      <x:c r="K179" s="11" t="n">
        <x:f aca="0">SUM(H179*J179)</x:f>
        <x:v>0</x:v>
      </x:c>
      <x:c r="L179" s="11"/>
      <x:c r="M179" s="11" t="n">
        <x:f aca="0">SUM(C179)</x:f>
        <x:v>0</x:v>
      </x:c>
      <x:c r="N179" s="11" t="n">
        <x:f aca="0">SUM(B179-1)</x:f>
        <x:v>-1</x:v>
      </x:c>
      <x:c r="O179" s="11" t="n">
        <x:f aca="0">SUM(F179*1)</x:f>
        <x:v>0</x:v>
      </x:c>
      <x:c r="P179" s="11"/>
      <x:c r="Q179" s="11" t="str">
        <x:f aca="0">A179</x:f>
        <x:v>橫木</x:v>
      </x:c>
      <x:c r="R179" s="1" t="n">
        <x:f aca="0">SUM(C179*2)*F179</x:f>
        <x:v>0</x:v>
      </x:c>
      <x:c r="T179"/>
    </x:row>
    <x:row r="180" ht="22.200000762939453" hidden="0">
      <x:c r="A180" s="10" t="s">
        <x:v>26</x:v>
      </x:c>
      <x:c r="B180" s="10"/>
      <x:c r="C180" s="10"/>
      <x:c r="D180" s="10" t="n">
        <x:v>18</x:v>
      </x:c>
      <x:c r="E180" s="10"/>
      <x:c r="F180" s="10"/>
      <x:c r="G180" s="10"/>
      <x:c r="H180" s="10" t="n">
        <x:v>69</x:v>
      </x:c>
      <x:c r="I180" s="11" t="n">
        <x:f aca="0">ROUND((IF((B180*C180)/90000&lt;1,1))+IF((B180*C180)/90000&gt;=1,(B180*C180)/90000),1.1)</x:f>
        <x:v>1</x:v>
      </x:c>
      <x:c r="J180" s="11" t="n">
        <x:f aca="0">SUM(F180*I180)</x:f>
        <x:v>0</x:v>
      </x:c>
      <x:c r="K180" s="11" t="n">
        <x:f aca="0">SUM(H180*J180)</x:f>
        <x:v>0</x:v>
      </x:c>
      <x:c r="L180" s="11"/>
      <x:c r="M180" s="11" t="n">
        <x:f aca="0">SUM(C180)</x:f>
        <x:v>0</x:v>
      </x:c>
      <x:c r="N180" s="11" t="n">
        <x:f aca="0">SUM(B180-1)</x:f>
        <x:v>-1</x:v>
      </x:c>
      <x:c r="O180" s="11" t="n">
        <x:f aca="0">SUM(F180*1)</x:f>
        <x:v>0</x:v>
      </x:c>
      <x:c r="P180" s="11"/>
      <x:c r="Q180" s="11" t="str">
        <x:f aca="0">A180</x:f>
        <x:v>前抽牆</x:v>
      </x:c>
      <x:c r="R180" s="1" t="n">
        <x:f aca="0">SUM(C180*2)*F180</x:f>
        <x:v>0</x:v>
      </x:c>
      <x:c r="T180"/>
    </x:row>
    <x:row r="181" ht="22.200000762939453" hidden="0">
      <x:c r="A181" s="10" t="s">
        <x:v>26</x:v>
      </x:c>
      <x:c r="B181" s="10"/>
      <x:c r="C181" s="10"/>
      <x:c r="D181" s="10" t="n">
        <x:v>18</x:v>
      </x:c>
      <x:c r="E181" s="10"/>
      <x:c r="F181" s="10"/>
      <x:c r="G181" s="10"/>
      <x:c r="H181" s="10" t="n">
        <x:v>69</x:v>
      </x:c>
      <x:c r="I181" s="11" t="n">
        <x:f aca="0">ROUND((IF((B181*C181)/90000&lt;1,1))+IF((B181*C181)/90000&gt;=1,(B181*C181)/90000),1.1)</x:f>
        <x:v>1</x:v>
      </x:c>
      <x:c r="J181" s="11" t="n">
        <x:f aca="0">SUM(F181*I181)</x:f>
        <x:v>0</x:v>
      </x:c>
      <x:c r="K181" s="11" t="n">
        <x:f aca="0">SUM(H181*J181)</x:f>
        <x:v>0</x:v>
      </x:c>
      <x:c r="L181" s="11"/>
      <x:c r="M181" s="11" t="n">
        <x:f aca="0">SUM(C181)</x:f>
        <x:v>0</x:v>
      </x:c>
      <x:c r="N181" s="11" t="n">
        <x:f aca="0">SUM(B181-1)</x:f>
        <x:v>-1</x:v>
      </x:c>
      <x:c r="O181" s="11" t="n">
        <x:f aca="0">SUM(F181*1)</x:f>
        <x:v>0</x:v>
      </x:c>
      <x:c r="P181" s="11"/>
      <x:c r="Q181" s="11" t="str">
        <x:f aca="0">A181</x:f>
        <x:v>前抽牆</x:v>
      </x:c>
      <x:c r="R181" s="1" t="n">
        <x:f aca="0">SUM(C181*2)*F181</x:f>
        <x:v>0</x:v>
      </x:c>
      <x:c r="T181"/>
    </x:row>
    <x:row r="182" ht="22.200000762939453" hidden="0">
      <x:c r="A182" s="10" t="s">
        <x:v>27</x:v>
      </x:c>
      <x:c r="B182" s="10"/>
      <x:c r="C182" s="10"/>
      <x:c r="D182" s="10" t="n">
        <x:v>18</x:v>
      </x:c>
      <x:c r="E182" s="10"/>
      <x:c r="F182" s="10"/>
      <x:c r="G182" s="10"/>
      <x:c r="H182" s="10" t="n">
        <x:v>69</x:v>
      </x:c>
      <x:c r="I182" s="11" t="n">
        <x:f aca="0">ROUND((IF((B182*C182)/90000&lt;1,1))+IF((B182*C182)/90000&gt;=1,(B182*C182)/90000),1.1)</x:f>
        <x:v>1</x:v>
      </x:c>
      <x:c r="J182" s="11" t="n">
        <x:f aca="0">SUM(F182*I182)</x:f>
        <x:v>0</x:v>
      </x:c>
      <x:c r="K182" s="11" t="n">
        <x:f aca="0">SUM(H182*J182)</x:f>
        <x:v>0</x:v>
      </x:c>
      <x:c r="L182" s="11"/>
      <x:c r="M182" s="11" t="n">
        <x:f aca="0">SUM(C182)</x:f>
        <x:v>0</x:v>
      </x:c>
      <x:c r="N182" s="11" t="n">
        <x:f aca="0">SUM(B182-1)</x:f>
        <x:v>-1</x:v>
      </x:c>
      <x:c r="O182" s="11" t="n">
        <x:f aca="0">SUM(F182*1)</x:f>
        <x:v>0</x:v>
      </x:c>
      <x:c r="P182" s="11"/>
      <x:c r="Q182" s="11" t="str">
        <x:f aca="0">A182</x:f>
        <x:v>邊抽牆</x:v>
      </x:c>
      <x:c r="R182" s="1" t="n">
        <x:f aca="0">SUM(C182*2)*F182</x:f>
        <x:v>0</x:v>
      </x:c>
      <x:c r="T182"/>
    </x:row>
    <x:row r="183" ht="22.200000762939453" hidden="0">
      <x:c r="A183" s="10" t="s">
        <x:v>27</x:v>
      </x:c>
      <x:c r="B183" s="10"/>
      <x:c r="C183" s="10"/>
      <x:c r="D183" s="10" t="n">
        <x:v>18</x:v>
      </x:c>
      <x:c r="E183" s="10"/>
      <x:c r="F183" s="10"/>
      <x:c r="G183" s="10"/>
      <x:c r="H183" s="10" t="n">
        <x:v>69</x:v>
      </x:c>
      <x:c r="I183" s="11" t="n">
        <x:f aca="0">ROUND((IF((B183*C183)/90000&lt;1,1))+IF((B183*C183)/90000&gt;=1,(B183*C183)/90000),1.1)</x:f>
        <x:v>1</x:v>
      </x:c>
      <x:c r="J183" s="11" t="n">
        <x:f aca="0">SUM(F183*I183)</x:f>
        <x:v>0</x:v>
      </x:c>
      <x:c r="K183" s="11" t="n">
        <x:f aca="0">SUM(H183*J183)</x:f>
        <x:v>0</x:v>
      </x:c>
      <x:c r="L183" s="11"/>
      <x:c r="M183" s="11" t="n">
        <x:f aca="0">SUM(C183)</x:f>
        <x:v>0</x:v>
      </x:c>
      <x:c r="N183" s="11" t="n">
        <x:f aca="0">SUM(B183-1)</x:f>
        <x:v>-1</x:v>
      </x:c>
      <x:c r="O183" s="11" t="n">
        <x:f aca="0">SUM(F183*1)</x:f>
        <x:v>0</x:v>
      </x:c>
      <x:c r="P183" s="11"/>
      <x:c r="Q183" s="11" t="str">
        <x:f aca="0">A183</x:f>
        <x:v>邊抽牆</x:v>
      </x:c>
      <x:c r="R183" s="1" t="n">
        <x:f aca="0">SUM(C183*2)*F183</x:f>
        <x:v>0</x:v>
      </x:c>
      <x:c r="T183"/>
    </x:row>
    <x:row r="184" ht="22.200000762939453" hidden="0">
      <x:c r="A184" s="10" t="s">
        <x:v>28</x:v>
      </x:c>
      <x:c r="B184" s="10"/>
      <x:c r="C184" s="10"/>
      <x:c r="D184" s="10" t="n">
        <x:v>8</x:v>
      </x:c>
      <x:c r="E184" s="10"/>
      <x:c r="F184" s="10"/>
      <x:c r="G184" s="10"/>
      <x:c r="H184" s="10" t="n">
        <x:v>50</x:v>
      </x:c>
      <x:c r="I184" s="11" t="n">
        <x:f aca="0">ROUND((IF((B184*C184)/90000&lt;1,1))+IF((B184*C184)/90000&gt;=1,(B184*C184)/90000),1.1)</x:f>
        <x:v>1</x:v>
      </x:c>
      <x:c r="J184" s="11" t="n">
        <x:f aca="0">SUM(F184*I184)</x:f>
        <x:v>0</x:v>
      </x:c>
      <x:c r="K184" s="11" t="n">
        <x:f aca="0">SUM(H184*J184)</x:f>
        <x:v>0</x:v>
      </x:c>
      <x:c r="L184" s="11"/>
      <x:c r="M184" s="11" t="n">
        <x:f aca="0">SUM(C184)</x:f>
        <x:v>0</x:v>
      </x:c>
      <x:c r="N184" s="11" t="n">
        <x:f aca="0">SUM(B184)</x:f>
        <x:v>0</x:v>
      </x:c>
      <x:c r="O184" s="11" t="n">
        <x:f aca="0">SUM(F184*1)</x:f>
        <x:v>0</x:v>
      </x:c>
      <x:c r="P184" s="11"/>
      <x:c r="Q184" s="11" t="str">
        <x:f aca="0">A184</x:f>
        <x:v>抽底板</x:v>
      </x:c>
      <x:c r="T184"/>
    </x:row>
    <x:row r="185" ht="22.200000762939453" hidden="0">
      <x:c r="A185" s="10" t="s">
        <x:v>28</x:v>
      </x:c>
      <x:c r="B185" s="10"/>
      <x:c r="C185" s="10"/>
      <x:c r="D185" s="10" t="n">
        <x:v>8</x:v>
      </x:c>
      <x:c r="E185" s="10"/>
      <x:c r="F185" s="10"/>
      <x:c r="G185" s="10"/>
      <x:c r="H185" s="10" t="n">
        <x:v>50</x:v>
      </x:c>
      <x:c r="I185" s="11" t="n">
        <x:f aca="0">ROUND((IF((B185*C185)/90000&lt;1,1))+IF((B185*C185)/90000&gt;=1,(B185*C185)/90000),1.1)</x:f>
        <x:v>1</x:v>
      </x:c>
      <x:c r="J185" s="11" t="n">
        <x:f aca="0">SUM(F185*I185)</x:f>
        <x:v>0</x:v>
      </x:c>
      <x:c r="K185" s="11" t="n">
        <x:f aca="0">SUM(H185*J185)</x:f>
        <x:v>0</x:v>
      </x:c>
      <x:c r="L185" s="11"/>
      <x:c r="M185" s="11" t="n">
        <x:f aca="0">SUM(C185)</x:f>
        <x:v>0</x:v>
      </x:c>
      <x:c r="N185" s="11" t="n">
        <x:f aca="0">SUM(B185)</x:f>
        <x:v>0</x:v>
      </x:c>
      <x:c r="O185" s="11" t="n">
        <x:f aca="0">SUM(F185*1)</x:f>
        <x:v>0</x:v>
      </x:c>
      <x:c r="P185" s="11"/>
      <x:c r="Q185" s="11" t="str">
        <x:f aca="0">A185</x:f>
        <x:v>抽底板</x:v>
      </x:c>
      <x:c r="T185"/>
    </x:row>
    <x:row r="186" ht="22.200000762939453" hidden="0">
      <x:c r="A186" s="12" t="s">
        <x:v>64</x:v>
      </x:c>
      <x:c r="B186" s="10"/>
      <x:c r="C186" s="10"/>
      <x:c r="D186" s="10" t="n">
        <x:v>18</x:v>
      </x:c>
      <x:c r="E186" s="10"/>
      <x:c r="F186" s="10"/>
      <x:c r="G186" s="10"/>
      <x:c r="H186" s="10" t="n">
        <x:v>84</x:v>
      </x:c>
      <x:c r="I186" s="11" t="n">
        <x:f aca="0">ROUND((IF((B186*C186)/90000&lt;1,1))+IF((B186*C186)/90000&gt;=1,(B186*C186)/90000),1.1)</x:f>
        <x:v>1</x:v>
      </x:c>
      <x:c r="J186" s="11" t="n">
        <x:f aca="0">SUM(F186*I186)</x:f>
        <x:v>0</x:v>
      </x:c>
      <x:c r="K186" s="11" t="n">
        <x:f aca="0">SUM(H186*J186)</x:f>
        <x:v>0</x:v>
      </x:c>
      <x:c r="L186" s="11"/>
      <x:c r="M186" s="11" t="n">
        <x:f aca="0">SUM(C186-2)</x:f>
        <x:v>-2</x:v>
      </x:c>
      <x:c r="N186" s="11" t="n">
        <x:f aca="0">SUM(B186-2)</x:f>
        <x:v>-2</x:v>
      </x:c>
      <x:c r="O186" s="11" t="n">
        <x:f aca="0">SUM(F186*1)</x:f>
        <x:v>0</x:v>
      </x:c>
      <x:c r="P186" s="11"/>
      <x:c r="Q186" s="11" t="str">
        <x:f aca="0">A186</x:f>
        <x:v>4E門板</x:v>
      </x:c>
      <x:c r="S186" s="1" t="n">
        <x:f aca="0">SUM(B186*2+C186*2)*F186</x:f>
        <x:v>0</x:v>
      </x:c>
      <x:c r="T186"/>
    </x:row>
    <x:row r="187" ht="22.200000762939453" hidden="0">
      <x:c r="A187" s="12" t="s">
        <x:v>64</x:v>
      </x:c>
      <x:c r="B187" s="10"/>
      <x:c r="C187" s="10"/>
      <x:c r="D187" s="10" t="n">
        <x:v>18</x:v>
      </x:c>
      <x:c r="E187" s="10"/>
      <x:c r="F187" s="10"/>
      <x:c r="G187" s="10"/>
      <x:c r="H187" s="10" t="n">
        <x:v>84</x:v>
      </x:c>
      <x:c r="I187" s="11" t="n">
        <x:f aca="0">ROUND((IF((B187*C187)/90000&lt;1,1))+IF((B187*C187)/90000&gt;=1,(B187*C187)/90000),1.1)</x:f>
        <x:v>1</x:v>
      </x:c>
      <x:c r="J187" s="11" t="n">
        <x:f aca="0">SUM(F187*I187)</x:f>
        <x:v>0</x:v>
      </x:c>
      <x:c r="K187" s="11" t="n">
        <x:f aca="0">SUM(H187*J187)</x:f>
        <x:v>0</x:v>
      </x:c>
      <x:c r="L187" s="11"/>
      <x:c r="M187" s="11" t="n">
        <x:f aca="0">SUM(C187-2)</x:f>
        <x:v>-2</x:v>
      </x:c>
      <x:c r="N187" s="11" t="n">
        <x:f aca="0">SUM(B187-2)</x:f>
        <x:v>-2</x:v>
      </x:c>
      <x:c r="O187" s="11" t="n">
        <x:f aca="0">SUM(F187*1)</x:f>
        <x:v>0</x:v>
      </x:c>
      <x:c r="P187" s="11"/>
      <x:c r="Q187" s="11" t="str">
        <x:f aca="0">A187</x:f>
        <x:v>4E門板</x:v>
      </x:c>
      <x:c r="S187" s="1" t="n">
        <x:f aca="0">SUM(B187*2+C187*2)*F187</x:f>
        <x:v>0</x:v>
      </x:c>
      <x:c r="T187"/>
    </x:row>
    <x:row r="188" ht="22.200000762939453" hidden="0">
      <x:c r="A188" s="12" t="s">
        <x:v>64</x:v>
      </x:c>
      <x:c r="B188" s="10"/>
      <x:c r="C188" s="10"/>
      <x:c r="D188" s="10" t="n">
        <x:v>18</x:v>
      </x:c>
      <x:c r="E188" s="10"/>
      <x:c r="F188" s="10"/>
      <x:c r="G188" s="10"/>
      <x:c r="H188" s="10" t="n">
        <x:v>84</x:v>
      </x:c>
      <x:c r="I188" s="11" t="n">
        <x:f aca="0">ROUND((IF((B188*C188)/90000&lt;1,1))+IF((B188*C188)/90000&gt;=1,(B188*C188)/90000),1.1)</x:f>
        <x:v>1</x:v>
      </x:c>
      <x:c r="J188" s="11" t="n">
        <x:f aca="0">SUM(F188*I188)</x:f>
        <x:v>0</x:v>
      </x:c>
      <x:c r="K188" s="11" t="n">
        <x:f aca="0">SUM(H188*J188)</x:f>
        <x:v>0</x:v>
      </x:c>
      <x:c r="L188" s="11"/>
      <x:c r="M188" s="11" t="n">
        <x:f aca="0">SUM(C188-2)</x:f>
        <x:v>-2</x:v>
      </x:c>
      <x:c r="N188" s="11" t="n">
        <x:f aca="0">SUM(B188-2)</x:f>
        <x:v>-2</x:v>
      </x:c>
      <x:c r="O188" s="11" t="n">
        <x:f aca="0">SUM(F188*1)</x:f>
        <x:v>0</x:v>
      </x:c>
      <x:c r="P188" s="11"/>
      <x:c r="Q188" s="11" t="str">
        <x:f aca="0">A188</x:f>
        <x:v>4E門板</x:v>
      </x:c>
      <x:c r="S188" s="1" t="n">
        <x:f aca="0">SUM(B188*2+C188*2)*F188</x:f>
        <x:v>0</x:v>
      </x:c>
      <x:c r="T188"/>
    </x:row>
    <x:row r="189" ht="22.200000762939453" hidden="0">
      <x:c r="A189" s="10" t="s">
        <x:v>30</x:v>
      </x:c>
      <x:c r="B189" s="10"/>
      <x:c r="C189" s="10"/>
      <x:c r="D189" s="10" t="n">
        <x:v>18</x:v>
      </x:c>
      <x:c r="E189" s="10"/>
      <x:c r="F189" s="10"/>
      <x:c r="G189" s="10"/>
      <x:c r="H189" s="10" t="n">
        <x:v>84</x:v>
      </x:c>
      <x:c r="I189" s="11" t="n">
        <x:f aca="0">ROUND((IF((B189*C189)/90000&lt;1,1))+IF((B189*C189)/90000&gt;=1,(B189*C189)/90000),1.1)</x:f>
        <x:v>1</x:v>
      </x:c>
      <x:c r="J189" s="11" t="n">
        <x:f aca="0">SUM(F189*I189)</x:f>
        <x:v>0</x:v>
      </x:c>
      <x:c r="K189" s="11" t="n">
        <x:f aca="0">SUM(H189*J189)</x:f>
        <x:v>0</x:v>
      </x:c>
      <x:c r="L189" s="11"/>
      <x:c r="M189" s="11" t="n">
        <x:f aca="0">SUM(C189-2)</x:f>
        <x:v>-2</x:v>
      </x:c>
      <x:c r="N189" s="11" t="n">
        <x:f aca="0">SUM(B189-2)</x:f>
        <x:v>-2</x:v>
      </x:c>
      <x:c r="O189" s="11" t="n">
        <x:f aca="0">SUM(F189*1)</x:f>
        <x:v>0</x:v>
      </x:c>
      <x:c r="P189" s="11"/>
      <x:c r="Q189" s="11" t="str">
        <x:f aca="0">A189</x:f>
        <x:v>假門板</x:v>
      </x:c>
      <x:c r="S189" s="1" t="n">
        <x:f aca="0">SUM(B189*2+C189*2)*F189</x:f>
        <x:v>0</x:v>
      </x:c>
      <x:c r="T189"/>
    </x:row>
    <x:row r="190" ht="22.200000762939453" hidden="0">
      <x:c r="A190" s="10" t="s">
        <x:v>31</x:v>
      </x:c>
      <x:c r="B190" s="10"/>
      <x:c r="C190" s="10"/>
      <x:c r="D190" s="10" t="n">
        <x:v>18</x:v>
      </x:c>
      <x:c r="E190" s="10"/>
      <x:c r="F190" s="10"/>
      <x:c r="G190" s="10"/>
      <x:c r="H190" s="10" t="n">
        <x:v>84</x:v>
      </x:c>
      <x:c r="I190" s="11" t="n">
        <x:f aca="0">ROUND((IF((B190*C190)/90000&lt;1,1))+IF((B190*C190)/90000&gt;=1,(B190*C190)/90000),1.1)</x:f>
        <x:v>1</x:v>
      </x:c>
      <x:c r="J190" s="11" t="n">
        <x:f aca="0">SUM(F190*I190)</x:f>
        <x:v>0</x:v>
      </x:c>
      <x:c r="K190" s="11" t="n">
        <x:f aca="0">SUM(H190*J190)</x:f>
        <x:v>0</x:v>
      </x:c>
      <x:c r="L190" s="11"/>
      <x:c r="M190" s="11" t="n">
        <x:f aca="0">SUM(C190-2)</x:f>
        <x:v>-2</x:v>
      </x:c>
      <x:c r="N190" s="11" t="n">
        <x:f aca="0">SUM(B190-2)</x:f>
        <x:v>-2</x:v>
      </x:c>
      <x:c r="O190" s="11" t="n">
        <x:f aca="0">SUM(F190*1)</x:f>
        <x:v>0</x:v>
      </x:c>
      <x:c r="P190" s="11"/>
      <x:c r="Q190" s="11" t="str">
        <x:f aca="0">A190</x:f>
        <x:v>屜頭</x:v>
      </x:c>
      <x:c r="S190" s="1" t="n">
        <x:f aca="0">SUM(B190*2+C190*2)*F190</x:f>
        <x:v>0</x:v>
      </x:c>
      <x:c r="T190"/>
    </x:row>
    <x:row r="191" ht="22.200000762939453" hidden="0">
      <x:c r="A191" s="10" t="s">
        <x:v>32</x:v>
      </x:c>
      <x:c r="B191" s="10"/>
      <x:c r="C191" s="10"/>
      <x:c r="D191" s="10" t="n">
        <x:v>18</x:v>
      </x:c>
      <x:c r="E191" s="10"/>
      <x:c r="F191" s="10"/>
      <x:c r="G191" s="10"/>
      <x:c r="H191" s="10" t="n">
        <x:v>74</x:v>
      </x:c>
      <x:c r="I191" s="11" t="n">
        <x:f aca="0">ROUND((IF((B191*C191)/90000&lt;1,1))+IF((B191*C191)/90000&gt;=1,(B191*C191)/90000),1.1)</x:f>
        <x:v>1</x:v>
      </x:c>
      <x:c r="J191" s="11" t="n">
        <x:f aca="0">SUM(F191*I191)</x:f>
        <x:v>0</x:v>
      </x:c>
      <x:c r="K191" s="11" t="n">
        <x:f aca="0">SUM(H191*J191)</x:f>
        <x:v>0</x:v>
      </x:c>
      <x:c r="L191" s="11"/>
      <x:c r="M191" s="11" t="n">
        <x:f aca="0">SUM(C191-1)</x:f>
        <x:v>-1</x:v>
      </x:c>
      <x:c r="N191" s="11" t="n">
        <x:f aca="0">SUM(B191)</x:f>
        <x:v>0</x:v>
      </x:c>
      <x:c r="O191" s="11" t="n">
        <x:f aca="0">SUM(F191*1)</x:f>
        <x:v>0</x:v>
      </x:c>
      <x:c r="P191" s="11"/>
      <x:c r="Q191" s="11" t="str">
        <x:f aca="0">A191</x:f>
        <x:v>推門</x:v>
      </x:c>
      <x:c r="R191" s="1" t="n">
        <x:f aca="0">SUM(B191*2+C191*2)*F191</x:f>
        <x:v>0</x:v>
      </x:c>
      <x:c r="T191"/>
    </x:row>
    <x:row r="192" ht="22.200000762939453" hidden="0">
      <x:c r="A192" s="10" t="s">
        <x:v>33</x:v>
      </x:c>
      <x:c r="B192" s="10"/>
      <x:c r="C192" s="10"/>
      <x:c r="D192" s="10" t="n">
        <x:v>18</x:v>
      </x:c>
      <x:c r="E192" s="10"/>
      <x:c r="F192" s="10"/>
      <x:c r="G192" s="10"/>
      <x:c r="H192" s="10" t="n">
        <x:v>74</x:v>
      </x:c>
      <x:c r="I192" s="11" t="n">
        <x:f aca="0">ROUND((IF((B192*C192)/90000&lt;1,1))+IF((B192*C192)/90000&gt;=1,(B192*C192)/90000),1.1)</x:f>
        <x:v>1</x:v>
      </x:c>
      <x:c r="J192" s="11" t="n">
        <x:f aca="0">SUM(F192*I192)</x:f>
        <x:v>0</x:v>
      </x:c>
      <x:c r="K192" s="11" t="n">
        <x:f aca="0">SUM(H192*J192)</x:f>
        <x:v>0</x:v>
      </x:c>
      <x:c r="L192" s="11"/>
      <x:c r="M192" s="11" t="n">
        <x:f aca="0">SUM(C192)</x:f>
        <x:v>0</x:v>
      </x:c>
      <x:c r="N192" s="11" t="n">
        <x:f aca="0">SUM(B192-1)</x:f>
        <x:v>-1</x:v>
      </x:c>
      <x:c r="O192" s="11" t="n">
        <x:f aca="0">SUM(F192*1)</x:f>
        <x:v>0</x:v>
      </x:c>
      <x:c r="P192" s="11"/>
      <x:c r="Q192" s="11" t="str">
        <x:f aca="0">A192</x:f>
        <x:v>側封板</x:v>
      </x:c>
      <x:c r="R192" s="1" t="n">
        <x:f aca="0">SUM(+C192*1)*F192</x:f>
        <x:v>0</x:v>
      </x:c>
      <x:c r="S192" s="1" t="n">
        <x:f aca="0">SUM(C192*1)*F192</x:f>
        <x:v>0</x:v>
      </x:c>
      <x:c r="T192"/>
    </x:row>
    <x:row r="193" ht="22.200000762939453" hidden="0">
      <x:c r="A193" s="10" t="s">
        <x:v>33</x:v>
      </x:c>
      <x:c r="B193" s="10"/>
      <x:c r="C193" s="10"/>
      <x:c r="D193" s="10" t="n">
        <x:v>18</x:v>
      </x:c>
      <x:c r="E193" s="10"/>
      <x:c r="F193" s="10"/>
      <x:c r="G193" s="10"/>
      <x:c r="H193" s="10" t="n">
        <x:v>74</x:v>
      </x:c>
      <x:c r="I193" s="11" t="n">
        <x:f aca="0">ROUND((IF((B193*C193)/90000&lt;1,1))+IF((B193*C193)/90000&gt;=1,(B193*C193)/90000),1.1)</x:f>
        <x:v>1</x:v>
      </x:c>
      <x:c r="J193" s="11" t="n">
        <x:f aca="0">SUM(F193*I193)</x:f>
        <x:v>0</x:v>
      </x:c>
      <x:c r="K193" s="11" t="n">
        <x:f aca="0">SUM(H193*J193)</x:f>
        <x:v>0</x:v>
      </x:c>
      <x:c r="L193" s="11"/>
      <x:c r="M193" s="11" t="n">
        <x:f aca="0">SUM(C193)</x:f>
        <x:v>0</x:v>
      </x:c>
      <x:c r="N193" s="11" t="n">
        <x:f aca="0">SUM(B193-1)</x:f>
        <x:v>-1</x:v>
      </x:c>
      <x:c r="O193" s="11" t="n">
        <x:f aca="0">SUM(F193*1)</x:f>
        <x:v>0</x:v>
      </x:c>
      <x:c r="P193" s="11"/>
      <x:c r="Q193" s="11" t="str">
        <x:f aca="0">A193</x:f>
        <x:v>側封板</x:v>
      </x:c>
      <x:c r="R193" s="1" t="n">
        <x:f aca="0">SUM(+C193*1)*F193</x:f>
        <x:v>0</x:v>
      </x:c>
      <x:c r="S193" s="1" t="n">
        <x:f aca="0">SUM(C193*1)*F193</x:f>
        <x:v>0</x:v>
      </x:c>
      <x:c r="T193"/>
    </x:row>
    <x:row r="194" ht="22.200000762939453" hidden="0">
      <x:c r="A194" s="10" t="s">
        <x:v>34</x:v>
      </x:c>
      <x:c r="B194" s="10"/>
      <x:c r="C194" s="10"/>
      <x:c r="D194" s="10" t="n">
        <x:v>18</x:v>
      </x:c>
      <x:c r="E194" s="10"/>
      <x:c r="F194" s="10"/>
      <x:c r="G194" s="10"/>
      <x:c r="H194" s="10" t="n">
        <x:v>74</x:v>
      </x:c>
      <x:c r="I194" s="11" t="n">
        <x:f aca="0">ROUND((IF((B194*C194)/90000&lt;1,1))+IF((B194*C194)/90000&gt;=1,(B194*C194)/90000),1.1)</x:f>
        <x:v>1</x:v>
      </x:c>
      <x:c r="J194" s="11" t="n">
        <x:f aca="0">SUM(F194*I194)</x:f>
        <x:v>0</x:v>
      </x:c>
      <x:c r="K194" s="11" t="n">
        <x:f aca="0">SUM(H194*J194)</x:f>
        <x:v>0</x:v>
      </x:c>
      <x:c r="L194" s="11"/>
      <x:c r="M194" s="11" t="n">
        <x:f aca="0">SUM(C194)</x:f>
        <x:v>0</x:v>
      </x:c>
      <x:c r="N194" s="11" t="n">
        <x:f aca="0">SUM(B194-1)</x:f>
        <x:v>-1</x:v>
      </x:c>
      <x:c r="O194" s="11" t="n">
        <x:f aca="0">SUM(F194*1)</x:f>
        <x:v>0</x:v>
      </x:c>
      <x:c r="P194" s="11"/>
      <x:c r="Q194" s="11" t="str">
        <x:f aca="0">A194</x:f>
        <x:v>軌道板</x:v>
      </x:c>
      <x:c r="R194" s="1" t="n">
        <x:f aca="0">SUM(+C194*1)*F194</x:f>
        <x:v>0</x:v>
      </x:c>
      <x:c r="S194" s="1" t="n">
        <x:f aca="0">SUM(C194*1)*F194</x:f>
        <x:v>0</x:v>
      </x:c>
      <x:c r="T194"/>
    </x:row>
    <x:row r="195" ht="22.200000762939453" hidden="0">
      <x:c r="A195" s="10" t="s">
        <x:v>34</x:v>
      </x:c>
      <x:c r="B195" s="10"/>
      <x:c r="C195" s="10"/>
      <x:c r="D195" s="10" t="n">
        <x:v>18</x:v>
      </x:c>
      <x:c r="E195" s="10"/>
      <x:c r="F195" s="10"/>
      <x:c r="G195" s="10"/>
      <x:c r="H195" s="10" t="n">
        <x:v>74</x:v>
      </x:c>
      <x:c r="I195" s="11" t="n">
        <x:f aca="0">ROUND((IF((B195*C195)/90000&lt;1,1))+IF((B195*C195)/90000&gt;=1,(B195*C195)/90000),1.1)</x:f>
        <x:v>1</x:v>
      </x:c>
      <x:c r="J195" s="11" t="n">
        <x:f aca="0">SUM(F195*I195)</x:f>
        <x:v>0</x:v>
      </x:c>
      <x:c r="K195" s="11" t="n">
        <x:f aca="0">SUM(H195*J195)</x:f>
        <x:v>0</x:v>
      </x:c>
      <x:c r="L195" s="11"/>
      <x:c r="M195" s="11" t="n">
        <x:f aca="0">SUM(C195)</x:f>
        <x:v>0</x:v>
      </x:c>
      <x:c r="N195" s="11" t="n">
        <x:f aca="0">SUM(B195-1)</x:f>
        <x:v>-1</x:v>
      </x:c>
      <x:c r="O195" s="11" t="n">
        <x:f aca="0">SUM(F195*1)</x:f>
        <x:v>0</x:v>
      </x:c>
      <x:c r="P195" s="11"/>
      <x:c r="Q195" s="11" t="str">
        <x:f aca="0">A195</x:f>
        <x:v>軌道板</x:v>
      </x:c>
      <x:c r="R195" s="1" t="n">
        <x:f aca="0">SUM(+C195*1)*F195</x:f>
        <x:v>0</x:v>
      </x:c>
      <x:c r="S195" s="1" t="n">
        <x:f aca="0">SUM(C195*1)*F195</x:f>
        <x:v>0</x:v>
      </x:c>
      <x:c r="T195"/>
    </x:row>
    <x:row r="196" ht="22.200000762939453" hidden="0">
      <x:c r="A196" s="10" t="s">
        <x:v>35</x:v>
      </x:c>
      <x:c r="B196" s="10"/>
      <x:c r="C196" s="10"/>
      <x:c r="D196" s="10" t="n">
        <x:v>18</x:v>
      </x:c>
      <x:c r="E196" s="10"/>
      <x:c r="F196" s="10"/>
      <x:c r="G196" s="10"/>
      <x:c r="H196" s="10" t="n">
        <x:v>69</x:v>
      </x:c>
      <x:c r="I196" s="11" t="n">
        <x:f aca="0">ROUND((IF((B196*C196)/90000&lt;1,1))+IF((B196*C196)/90000&gt;=1,(B196*C196)/90000),1.1)</x:f>
        <x:v>1</x:v>
      </x:c>
      <x:c r="J196" s="11" t="n">
        <x:f aca="0">SUM(F196*I196)</x:f>
        <x:v>0</x:v>
      </x:c>
      <x:c r="K196" s="11" t="n">
        <x:f aca="0">SUM(H196*J196)</x:f>
        <x:v>0</x:v>
      </x:c>
      <x:c r="L196" s="11"/>
      <x:c r="M196" s="11" t="n">
        <x:f aca="0">SUM(C196)</x:f>
        <x:v>0</x:v>
      </x:c>
      <x:c r="N196" s="11" t="n">
        <x:f aca="0">SUM(B196-1)</x:f>
        <x:v>-1</x:v>
      </x:c>
      <x:c r="O196" s="11" t="n">
        <x:f aca="0">SUM(F196*1)</x:f>
        <x:v>0</x:v>
      </x:c>
      <x:c r="P196" s="11"/>
      <x:c r="Q196" s="11" t="str">
        <x:f aca="0">A196</x:f>
        <x:v>擋板</x:v>
      </x:c>
      <x:c r="R196" s="1" t="n">
        <x:f aca="0">SUM(C196*2)*F196</x:f>
        <x:v>0</x:v>
      </x:c>
      <x:c r="T196"/>
    </x:row>
    <x:row r="197" ht="22.200000762939453" hidden="0">
      <x:c r="A197" s="10" t="s">
        <x:v>35</x:v>
      </x:c>
      <x:c r="B197" s="10"/>
      <x:c r="C197" s="10"/>
      <x:c r="D197" s="10" t="n">
        <x:v>18</x:v>
      </x:c>
      <x:c r="E197" s="10"/>
      <x:c r="F197" s="10"/>
      <x:c r="G197" s="10"/>
      <x:c r="H197" s="10" t="n">
        <x:v>69</x:v>
      </x:c>
      <x:c r="I197" s="11" t="n">
        <x:f aca="0">ROUND((IF((B197*C197)/90000&lt;1,1))+IF((B197*C197)/90000&gt;=1,(B197*C197)/90000),1.1)</x:f>
        <x:v>1</x:v>
      </x:c>
      <x:c r="J197" s="11" t="n">
        <x:f aca="0">SUM(F197*I197)</x:f>
        <x:v>0</x:v>
      </x:c>
      <x:c r="K197" s="11" t="n">
        <x:f aca="0">SUM(H197*J197)</x:f>
        <x:v>0</x:v>
      </x:c>
      <x:c r="L197" s="11"/>
      <x:c r="M197" s="11" t="n">
        <x:f aca="0">SUM(C197)</x:f>
        <x:v>0</x:v>
      </x:c>
      <x:c r="N197" s="11" t="n">
        <x:f aca="0">SUM(B197-1)</x:f>
        <x:v>-1</x:v>
      </x:c>
      <x:c r="O197" s="11" t="n">
        <x:f aca="0">SUM(F197*1)</x:f>
        <x:v>0</x:v>
      </x:c>
      <x:c r="P197" s="11"/>
      <x:c r="Q197" s="11" t="str">
        <x:f aca="0">A197</x:f>
        <x:v>擋板</x:v>
      </x:c>
      <x:c r="R197" s="1" t="n">
        <x:f aca="0">SUM(C197*2)*F197</x:f>
        <x:v>0</x:v>
      </x:c>
      <x:c r="T197"/>
    </x:row>
    <x:row r="198" ht="22.200000762939453" hidden="0">
      <x:c r="A198" s="10" t="s">
        <x:v>36</x:v>
      </x:c>
      <x:c r="B198" s="10"/>
      <x:c r="C198" s="10"/>
      <x:c r="D198" s="10" t="n">
        <x:v>8</x:v>
      </x:c>
      <x:c r="E198" s="10"/>
      <x:c r="F198" s="10"/>
      <x:c r="G198" s="10"/>
      <x:c r="H198" s="10" t="n">
        <x:v>69</x:v>
      </x:c>
      <x:c r="I198" s="11" t="n">
        <x:f aca="0">ROUND((IF((B198*C198)/90000&lt;1,1))+IF((B198*C198)/90000&gt;=1,(B198*C198)/90000),1.1)</x:f>
        <x:v>1</x:v>
      </x:c>
      <x:c r="J198" s="11" t="n">
        <x:f aca="0">SUM(F198*I198)</x:f>
        <x:v>0</x:v>
      </x:c>
      <x:c r="K198" s="11" t="n">
        <x:f aca="0">SUM(H198*J198)</x:f>
        <x:v>0</x:v>
      </x:c>
      <x:c r="L198" s="11"/>
      <x:c r="M198" s="11" t="n">
        <x:f aca="0">SUM(C198)</x:f>
        <x:v>0</x:v>
      </x:c>
      <x:c r="N198" s="11" t="n">
        <x:f aca="0">SUM(B198-1)</x:f>
        <x:v>-1</x:v>
      </x:c>
      <x:c r="O198" s="11" t="n">
        <x:f aca="0">SUM(F198*1)</x:f>
        <x:v>0</x:v>
      </x:c>
      <x:c r="P198" s="11"/>
      <x:c r="Q198" s="11" t="str">
        <x:f aca="0">A198</x:f>
        <x:v>襯板</x:v>
      </x:c>
      <x:c r="R198" s="1" t="n">
        <x:f aca="0">SUM(C198*2)*F198</x:f>
        <x:v>0</x:v>
      </x:c>
      <x:c r="T198"/>
    </x:row>
    <x:row r="199" ht="22.200000762939453" hidden="0">
      <x:c r="A199" s="10" t="s">
        <x:v>36</x:v>
      </x:c>
      <x:c r="B199" s="10"/>
      <x:c r="C199" s="10"/>
      <x:c r="D199" s="10" t="n">
        <x:v>8</x:v>
      </x:c>
      <x:c r="E199" s="10"/>
      <x:c r="F199" s="10"/>
      <x:c r="G199" s="10"/>
      <x:c r="H199" s="10" t="n">
        <x:v>69</x:v>
      </x:c>
      <x:c r="I199" s="11" t="n">
        <x:f aca="0">ROUND((IF((B199*C199)/90000&lt;1,1))+IF((B199*C199)/90000&gt;=1,(B199*C199)/90000),1.1)</x:f>
        <x:v>1</x:v>
      </x:c>
      <x:c r="J199" s="11" t="n">
        <x:f aca="0">SUM(F199*I199)</x:f>
        <x:v>0</x:v>
      </x:c>
      <x:c r="K199" s="11" t="n">
        <x:f aca="0">SUM(H199*J199)</x:f>
        <x:v>0</x:v>
      </x:c>
      <x:c r="L199" s="11"/>
      <x:c r="M199" s="11" t="n">
        <x:f aca="0">SUM(C199)</x:f>
        <x:v>0</x:v>
      </x:c>
      <x:c r="N199" s="11" t="n">
        <x:f aca="0">SUM(B199-1)</x:f>
        <x:v>-1</x:v>
      </x:c>
      <x:c r="O199" s="11" t="n">
        <x:f aca="0">SUM(F199*1)</x:f>
        <x:v>0</x:v>
      </x:c>
      <x:c r="P199" s="11"/>
      <x:c r="Q199" s="11" t="str">
        <x:f aca="0">A199</x:f>
        <x:v>襯板</x:v>
      </x:c>
      <x:c r="R199" s="1" t="n">
        <x:f aca="0">SUM(C199*2)*F199</x:f>
        <x:v>0</x:v>
      </x:c>
      <x:c r="T199"/>
    </x:row>
    <x:row r="200" ht="22.200000762939453" hidden="0">
      <x:c r="A200" s="10" t="s">
        <x:v>37</x:v>
      </x:c>
      <x:c r="B200" s="10"/>
      <x:c r="C200" s="10"/>
      <x:c r="D200" s="10" t="n">
        <x:v>8</x:v>
      </x:c>
      <x:c r="E200" s="10"/>
      <x:c r="F200" s="10"/>
      <x:c r="G200" s="10"/>
      <x:c r="H200" s="10" t="n">
        <x:v>50</x:v>
      </x:c>
      <x:c r="I200" s="11" t="n">
        <x:f aca="0">ROUND((IF((B200*C200)/90000&lt;1,1))+IF((B200*C200)/90000&gt;=1,(B200*C200)/90000),1.1)</x:f>
        <x:v>1</x:v>
      </x:c>
      <x:c r="J200" s="11" t="n">
        <x:f aca="0">SUM(F200*I200)</x:f>
        <x:v>0</x:v>
      </x:c>
      <x:c r="K200" s="11" t="n">
        <x:f aca="0">SUM(H200*J200)</x:f>
        <x:v>0</x:v>
      </x:c>
      <x:c r="L200" s="11"/>
      <x:c r="M200" s="11" t="n">
        <x:f aca="0">SUM(C200)</x:f>
        <x:v>0</x:v>
      </x:c>
      <x:c r="N200" s="11" t="n">
        <x:f aca="0">SUM(B200)</x:f>
        <x:v>0</x:v>
      </x:c>
      <x:c r="O200" s="11" t="n">
        <x:f aca="0">SUM(F200*1)</x:f>
        <x:v>0</x:v>
      </x:c>
      <x:c r="P200" s="11"/>
      <x:c r="Q200" s="11" t="str">
        <x:f aca="0">A200</x:f>
        <x:v>背板</x:v>
      </x:c>
      <x:c r="T200"/>
    </x:row>
    <x:row r="201" ht="22.200000762939453" hidden="0">
      <x:c r="A201" s="10" t="s">
        <x:v>37</x:v>
      </x:c>
      <x:c r="B201" s="10"/>
      <x:c r="C201" s="10"/>
      <x:c r="D201" s="10" t="n">
        <x:v>8</x:v>
      </x:c>
      <x:c r="E201" s="10"/>
      <x:c r="F201" s="10"/>
      <x:c r="G201" s="10"/>
      <x:c r="H201" s="10" t="n">
        <x:v>50</x:v>
      </x:c>
      <x:c r="I201" s="11" t="n">
        <x:f aca="0">ROUND((IF((B201*C201)/90000&lt;1,1))+IF((B201*C201)/90000&gt;=1,(B201*C201)/90000),1.1)</x:f>
        <x:v>1</x:v>
      </x:c>
      <x:c r="J201" s="11" t="n">
        <x:f aca="0">SUM(F201*I201)</x:f>
        <x:v>0</x:v>
      </x:c>
      <x:c r="K201" s="11" t="n">
        <x:f aca="0">SUM(H201*J201)</x:f>
        <x:v>0</x:v>
      </x:c>
      <x:c r="L201" s="11"/>
      <x:c r="M201" s="11" t="n">
        <x:f aca="0">SUM(C201)</x:f>
        <x:v>0</x:v>
      </x:c>
      <x:c r="N201" s="11" t="n">
        <x:f aca="0">SUM(B201)</x:f>
        <x:v>0</x:v>
      </x:c>
      <x:c r="O201" s="11" t="n">
        <x:f aca="0">SUM(F201*1)</x:f>
        <x:v>0</x:v>
      </x:c>
      <x:c r="P201" s="11"/>
      <x:c r="Q201" s="11" t="str">
        <x:f aca="0">A201</x:f>
        <x:v>背板</x:v>
      </x:c>
      <x:c r="T201"/>
    </x:row>
    <x:row r="202" ht="22.200000762939453" hidden="0">
      <x:c r="A202" s="10" t="s">
        <x:v>37</x:v>
      </x:c>
      <x:c r="B202" s="10"/>
      <x:c r="C202" s="10"/>
      <x:c r="D202" s="10" t="n">
        <x:v>8</x:v>
      </x:c>
      <x:c r="E202" s="10"/>
      <x:c r="F202" s="10"/>
      <x:c r="G202" s="10"/>
      <x:c r="H202" s="10" t="n">
        <x:v>50</x:v>
      </x:c>
      <x:c r="I202" s="11" t="n">
        <x:f aca="0">ROUND((IF((B202*C202)/90000&lt;1,1))+IF((B202*C202)/90000&gt;=1,(B202*C202)/90000),1.1)</x:f>
        <x:v>1</x:v>
      </x:c>
      <x:c r="J202" s="11" t="n">
        <x:f aca="0">SUM(F202*I202)</x:f>
        <x:v>0</x:v>
      </x:c>
      <x:c r="K202" s="11" t="n">
        <x:f aca="0">SUM(H202*J202)</x:f>
        <x:v>0</x:v>
      </x:c>
      <x:c r="L202" s="11"/>
      <x:c r="M202" s="11" t="n">
        <x:f aca="0">SUM(C202)</x:f>
        <x:v>0</x:v>
      </x:c>
      <x:c r="N202" s="11" t="n">
        <x:f aca="0">SUM(B202)</x:f>
        <x:v>0</x:v>
      </x:c>
      <x:c r="O202" s="11" t="n">
        <x:f aca="0">SUM(F202*1)</x:f>
        <x:v>0</x:v>
      </x:c>
      <x:c r="P202" s="11"/>
      <x:c r="Q202" s="11" t="str">
        <x:f aca="0">A202</x:f>
        <x:v>背板</x:v>
      </x:c>
      <x:c r="T202"/>
    </x:row>
    <x:row r="203" ht="22.200000762939453" hidden="0">
      <x:c r="A203" s="10" t="s">
        <x:v>37</x:v>
      </x:c>
      <x:c r="B203" s="10"/>
      <x:c r="C203" s="10"/>
      <x:c r="D203" s="10" t="n">
        <x:v>8</x:v>
      </x:c>
      <x:c r="E203" s="10"/>
      <x:c r="F203" s="10"/>
      <x:c r="G203" s="10"/>
      <x:c r="H203" s="10" t="n">
        <x:v>50</x:v>
      </x:c>
      <x:c r="I203" s="11" t="n">
        <x:f aca="0">ROUND((IF((B203*C203)/90000&lt;1,1))+IF((B203*C203)/90000&gt;=1,(B203*C203)/90000),1.1)</x:f>
        <x:v>1</x:v>
      </x:c>
      <x:c r="J203" s="11" t="n">
        <x:f aca="0">SUM(F203*I203)</x:f>
        <x:v>0</x:v>
      </x:c>
      <x:c r="K203" s="11" t="n">
        <x:f aca="0">SUM(H203*J203)</x:f>
        <x:v>0</x:v>
      </x:c>
      <x:c r="L203" s="11"/>
      <x:c r="M203" s="11" t="n">
        <x:f aca="0">SUM(C203)</x:f>
        <x:v>0</x:v>
      </x:c>
      <x:c r="N203" s="11" t="n">
        <x:f aca="0">SUM(B203)</x:f>
        <x:v>0</x:v>
      </x:c>
      <x:c r="O203" s="11" t="n">
        <x:f aca="0">SUM(F203*1)</x:f>
        <x:v>0</x:v>
      </x:c>
      <x:c r="P203" s="11"/>
      <x:c r="Q203" s="11" t="str">
        <x:f aca="0">A203</x:f>
        <x:v>背板</x:v>
      </x:c>
      <x:c r="T203"/>
    </x:row>
    <x:row r="204" ht="22.200000762939453" hidden="0">
      <x:c r="A204" s="10" t="s">
        <x:v>37</x:v>
      </x:c>
      <x:c r="B204" s="10"/>
      <x:c r="C204" s="10"/>
      <x:c r="D204" s="10" t="n">
        <x:v>8</x:v>
      </x:c>
      <x:c r="E204" s="10"/>
      <x:c r="F204" s="10"/>
      <x:c r="G204" s="10"/>
      <x:c r="H204" s="10" t="n">
        <x:v>50</x:v>
      </x:c>
      <x:c r="I204" s="11" t="n">
        <x:f aca="0">ROUND((IF((B204*C204)/90000&lt;1,1))+IF((B204*C204)/90000&gt;=1,(B204*C204)/90000),1.1)</x:f>
        <x:v>1</x:v>
      </x:c>
      <x:c r="J204" s="11" t="n">
        <x:f aca="0">SUM(F204*I204)</x:f>
        <x:v>0</x:v>
      </x:c>
      <x:c r="K204" s="11" t="n">
        <x:f aca="0">SUM(H204*J204)</x:f>
        <x:v>0</x:v>
      </x:c>
      <x:c r="L204" s="11"/>
      <x:c r="M204" s="11" t="n">
        <x:f aca="0">SUM(C204)</x:f>
        <x:v>0</x:v>
      </x:c>
      <x:c r="N204" s="11" t="n">
        <x:f aca="0">SUM(B204)</x:f>
        <x:v>0</x:v>
      </x:c>
      <x:c r="O204" s="11" t="n">
        <x:f aca="0">SUM(F204*1)</x:f>
        <x:v>0</x:v>
      </x:c>
      <x:c r="P204" s="11"/>
      <x:c r="Q204" s="11" t="str">
        <x:f aca="0">A204</x:f>
        <x:v>背板</x:v>
      </x:c>
      <x:c r="T204"/>
    </x:row>
    <x:row r="205" ht="22.200000762939453" hidden="0">
      <x:c r="A205" s="10" t="s">
        <x:v>38</x:v>
      </x:c>
      <x:c r="B205" s="10"/>
      <x:c r="C205" s="10"/>
      <x:c r="D205" s="10" t="n">
        <x:v>18</x:v>
      </x:c>
      <x:c r="E205" s="10"/>
      <x:c r="F205" s="10"/>
      <x:c r="G205" s="10"/>
      <x:c r="H205" s="10" t="n">
        <x:v>50</x:v>
      </x:c>
      <x:c r="I205" s="11" t="n">
        <x:f aca="0">ROUND((IF((B205*C205)/90000&lt;1,1))+IF((B205*C205)/90000&gt;=1,(B205*C205)/90000),1.1)</x:f>
        <x:v>1</x:v>
      </x:c>
      <x:c r="J205" s="11" t="n">
        <x:f aca="0">SUM(F205*I205)</x:f>
        <x:v>0</x:v>
      </x:c>
      <x:c r="K205" s="11" t="n">
        <x:f aca="0">SUM(H205*J205)</x:f>
        <x:v>0</x:v>
      </x:c>
      <x:c r="L205" s="11"/>
      <x:c r="M205" s="11" t="n">
        <x:f aca="0">SUM(C205)</x:f>
        <x:v>0</x:v>
      </x:c>
      <x:c r="N205" s="11" t="n">
        <x:f aca="0">SUM(B205)</x:f>
        <x:v>0</x:v>
      </x:c>
      <x:c r="O205" s="11" t="n">
        <x:f aca="0">SUM(F205*1)</x:f>
        <x:v>0</x:v>
      </x:c>
      <x:c r="P205" s="11"/>
      <x:c r="Q205" s="11" t="str">
        <x:f aca="0">A205</x:f>
        <x:v>踢腳板</x:v>
      </x:c>
      <x:c r="R205" s="1" t="n">
        <x:f aca="0">SUM(C205*1)*F205</x:f>
        <x:v>0</x:v>
      </x:c>
      <x:c r="T205"/>
    </x:row>
    <x:row r="206" ht="22.200000762939453" hidden="0">
      <x:c r="A206" s="10" t="s">
        <x:v>39</x:v>
      </x:c>
      <x:c r="B206" s="10"/>
      <x:c r="C206" s="10"/>
      <x:c r="D206" s="10" t="n">
        <x:v>25</x:v>
      </x:c>
      <x:c r="E206" s="10"/>
      <x:c r="F206" s="10"/>
      <x:c r="G206" s="10"/>
      <x:c r="H206" s="10" t="n">
        <x:v>126</x:v>
      </x:c>
      <x:c r="I206" s="11" t="n">
        <x:f aca="0">ROUND((IF((B206*C206)/90000&lt;1,1))+IF((B206*C206)/90000&gt;=1,(B206*C206)/90000),1.1)</x:f>
        <x:v>1</x:v>
      </x:c>
      <x:c r="J206" s="11" t="n">
        <x:f aca="0">SUM(F206*I206)</x:f>
        <x:v>0</x:v>
      </x:c>
      <x:c r="K206" s="11" t="n">
        <x:f aca="0">SUM(H206*J206)</x:f>
        <x:v>0</x:v>
      </x:c>
      <x:c r="L206" s="11"/>
      <x:c r="M206" s="11" t="n">
        <x:f aca="0">SUM(C206)</x:f>
        <x:v>0</x:v>
      </x:c>
      <x:c r="N206" s="11" t="n">
        <x:f aca="0">SUM(B206-1)</x:f>
        <x:v>-1</x:v>
      </x:c>
      <x:c r="O206" s="11" t="n">
        <x:f aca="0">SUM(F206*1)</x:f>
        <x:v>0</x:v>
      </x:c>
      <x:c r="P206" s="11"/>
      <x:c r="Q206" s="11" t="str">
        <x:f aca="0">A206</x:f>
        <x:v>檯面</x:v>
      </x:c>
      <x:c r="S206" s="1" t="n">
        <x:f aca="0">SUM(B206*2+C206*1)*F206</x:f>
        <x:v>0</x:v>
      </x:c>
      <x:c r="T206"/>
    </x:row>
    <x:row r="207" ht="22.200000762939453" hidden="0">
      <x:c r="A207" s="10" t="s">
        <x:v>40</x:v>
      </x:c>
      <x:c r="B207" s="10"/>
      <x:c r="C207" s="10"/>
      <x:c r="D207" s="10" t="n">
        <x:v>18</x:v>
      </x:c>
      <x:c r="E207" s="10"/>
      <x:c r="F207" s="10"/>
      <x:c r="G207" s="10"/>
      <x:c r="H207" s="10" t="n">
        <x:v>65</x:v>
      </x:c>
      <x:c r="I207" s="11" t="n">
        <x:f aca="0">ROUND((IF((B207*C207)/90000&lt;1,1))+IF((B207*C207)/90000&gt;=1,(B207*C207)/90000),1.1)</x:f>
        <x:v>1</x:v>
      </x:c>
      <x:c r="J207" s="11" t="n">
        <x:f aca="0">SUM(F207*I207)</x:f>
        <x:v>0</x:v>
      </x:c>
      <x:c r="K207" s="11" t="n">
        <x:f aca="0">SUM(H207*J207)</x:f>
        <x:v>0</x:v>
      </x:c>
      <x:c r="L207" s="11"/>
      <x:c r="M207" s="11" t="n">
        <x:f aca="0">SUM(C207)</x:f>
        <x:v>0</x:v>
      </x:c>
      <x:c r="N207" s="11" t="n">
        <x:f aca="0">SUM(B207)</x:f>
        <x:v>0</x:v>
      </x:c>
      <x:c r="O207" s="11" t="n">
        <x:f aca="0">SUM(F207*1)</x:f>
        <x:v>0</x:v>
      </x:c>
      <x:c r="P207" s="11"/>
      <x:c r="Q207" s="11" t="str">
        <x:f aca="0">A207</x:f>
        <x:v>背條</x:v>
      </x:c>
      <x:c r="T207"/>
    </x:row>
    <x:row r="208" ht="22.200000762939453" hidden="0">
      <x:c r="A208" s="10" t="s">
        <x:v>40</x:v>
      </x:c>
      <x:c r="B208" s="10"/>
      <x:c r="C208" s="10"/>
      <x:c r="D208" s="10" t="n">
        <x:v>18</x:v>
      </x:c>
      <x:c r="E208" s="10"/>
      <x:c r="F208" s="10"/>
      <x:c r="G208" s="10"/>
      <x:c r="H208" s="10" t="n">
        <x:v>65</x:v>
      </x:c>
      <x:c r="I208" s="11" t="n">
        <x:f aca="0">ROUND((IF((B208*C208)/90000&lt;1,1))+IF((B208*C208)/90000&gt;=1,(B208*C208)/90000),1.1)</x:f>
        <x:v>1</x:v>
      </x:c>
      <x:c r="J208" s="11" t="n">
        <x:f aca="0">SUM(F208*I208)</x:f>
        <x:v>0</x:v>
      </x:c>
      <x:c r="K208" s="11" t="n">
        <x:f aca="0">SUM(H208*J208)</x:f>
        <x:v>0</x:v>
      </x:c>
      <x:c r="L208" s="11"/>
      <x:c r="M208" s="11" t="n">
        <x:f aca="0">SUM(C208)</x:f>
        <x:v>0</x:v>
      </x:c>
      <x:c r="N208" s="11" t="n">
        <x:f aca="0">SUM(B208)</x:f>
        <x:v>0</x:v>
      </x:c>
      <x:c r="O208" s="11" t="n">
        <x:f aca="0">SUM(F208*1)</x:f>
        <x:v>0</x:v>
      </x:c>
      <x:c r="P208" s="11"/>
      <x:c r="Q208" s="11" t="str">
        <x:f aca="0">A208</x:f>
        <x:v>背條</x:v>
      </x:c>
      <x:c r="T208"/>
    </x:row>
    <x:row r="209" ht="22.200000762939453" hidden="0">
      <x:c r="A209" s="10" t="s">
        <x:v>40</x:v>
      </x:c>
      <x:c r="B209" s="10"/>
      <x:c r="C209" s="10"/>
      <x:c r="D209" s="10" t="n">
        <x:v>18</x:v>
      </x:c>
      <x:c r="E209" s="10"/>
      <x:c r="F209" s="10"/>
      <x:c r="G209" s="10"/>
      <x:c r="H209" s="10" t="n">
        <x:v>65</x:v>
      </x:c>
      <x:c r="I209" s="11" t="n">
        <x:f aca="0">ROUND((IF((B209*C209)/90000&lt;1,1))+IF((B209*C209)/90000&gt;=1,(B209*C209)/90000),1.1)</x:f>
        <x:v>1</x:v>
      </x:c>
      <x:c r="J209" s="11" t="n">
        <x:f aca="0">SUM(F209*I209)</x:f>
        <x:v>0</x:v>
      </x:c>
      <x:c r="K209" s="11" t="n">
        <x:f aca="0">SUM(H209*J209)</x:f>
        <x:v>0</x:v>
      </x:c>
      <x:c r="L209" s="11"/>
      <x:c r="M209" s="11" t="n">
        <x:f aca="0">SUM(C209)</x:f>
        <x:v>0</x:v>
      </x:c>
      <x:c r="N209" s="11" t="n">
        <x:f aca="0">SUM(B209)</x:f>
        <x:v>0</x:v>
      </x:c>
      <x:c r="O209" s="11" t="n">
        <x:f aca="0">SUM(F209*1)</x:f>
        <x:v>0</x:v>
      </x:c>
      <x:c r="P209" s="11"/>
      <x:c r="Q209" s="11" t="str">
        <x:f aca="0">A209</x:f>
        <x:v>背條</x:v>
      </x:c>
      <x:c r="T209"/>
    </x:row>
    <x:row r="210" ht="22.200000762939453" hidden="0">
      <x:c r="A210" s="10" t="s">
        <x:v>40</x:v>
      </x:c>
      <x:c r="B210" s="10"/>
      <x:c r="C210" s="10"/>
      <x:c r="D210" s="10" t="n">
        <x:v>18</x:v>
      </x:c>
      <x:c r="E210" s="10"/>
      <x:c r="F210" s="10"/>
      <x:c r="G210" s="10"/>
      <x:c r="H210" s="10" t="n">
        <x:v>65</x:v>
      </x:c>
      <x:c r="I210" s="11" t="n">
        <x:f aca="0">ROUND((IF((B210*C210)/90000&lt;1,1))+IF((B210*C210)/90000&gt;=1,(B210*C210)/90000),1.1)</x:f>
        <x:v>1</x:v>
      </x:c>
      <x:c r="J210" s="11" t="n">
        <x:f aca="0">SUM(F210*I210)</x:f>
        <x:v>0</x:v>
      </x:c>
      <x:c r="K210" s="11" t="n">
        <x:f aca="0">SUM(H210*J210)</x:f>
        <x:v>0</x:v>
      </x:c>
      <x:c r="L210" s="11"/>
      <x:c r="M210" s="11" t="n">
        <x:f aca="0">SUM(C210)</x:f>
        <x:v>0</x:v>
      </x:c>
      <x:c r="N210" s="11" t="n">
        <x:f aca="0">SUM(B210)</x:f>
        <x:v>0</x:v>
      </x:c>
      <x:c r="O210" s="11" t="n">
        <x:f aca="0">SUM(F210*1)</x:f>
        <x:v>0</x:v>
      </x:c>
      <x:c r="P210" s="11"/>
      <x:c r="Q210" s="11" t="str">
        <x:f aca="0">A210</x:f>
        <x:v>背條</x:v>
      </x:c>
      <x:c r="T210"/>
    </x:row>
    <x:row r="211" ht="22.200000762939453" hidden="0">
      <x:c r="A211" s="12" t="s">
        <x:v>41</x:v>
      </x:c>
      <x:c r="B211" s="10"/>
      <x:c r="C211" s="10"/>
      <x:c r="D211" s="10"/>
      <x:c r="E211" s="10"/>
      <x:c r="F211" s="10"/>
      <x:c r="G211" s="10"/>
      <x:c r="H211" s="10" t="n">
        <x:v>11</x:v>
      </x:c>
      <x:c r="I211" s="11"/>
      <x:c r="J211" s="11"/>
      <x:c r="K211" s="11" t="n">
        <x:f aca="0">SUM(F211*H211)</x:f>
        <x:v>0</x:v>
      </x:c>
      <x:c r="L211" s="11"/>
      <x:c r="M211" s="11"/>
      <x:c r="N211" s="11"/>
      <x:c r="O211" s="11"/>
      <x:c r="P211" s="11"/>
      <x:c r="Q211" s="11"/>
      <x:c r="T211"/>
    </x:row>
    <x:row r="212" ht="22.200000762939453" hidden="0">
      <x:c r="A212" s="12" t="s">
        <x:v>42</x:v>
      </x:c>
      <x:c r="B212" s="10"/>
      <x:c r="C212" s="10"/>
      <x:c r="D212" s="10"/>
      <x:c r="E212" s="10"/>
      <x:c r="F212" s="10"/>
      <x:c r="G212" s="10"/>
      <x:c r="H212" s="10" t="n">
        <x:v>9</x:v>
      </x:c>
      <x:c r="I212" s="11"/>
      <x:c r="J212" s="11"/>
      <x:c r="K212" s="11" t="n">
        <x:f aca="0">SUM(F212*H212)</x:f>
        <x:v>0</x:v>
      </x:c>
      <x:c r="L212" s="11"/>
      <x:c r="M212" s="11"/>
      <x:c r="N212" s="11"/>
      <x:c r="O212" s="11"/>
      <x:c r="P212" s="11"/>
      <x:c r="Q212" s="11"/>
      <x:c r="R212" s="9"/>
      <x:c r="S212" s="13"/>
      <x:c r="T212"/>
    </x:row>
    <x:row r="213" ht="22.200000762939453" hidden="0">
      <x:c r="A213" s="10" t="s">
        <x:v>43</x:v>
      </x:c>
      <x:c r="B213" s="10"/>
      <x:c r="C213" s="10"/>
      <x:c r="D213" s="10"/>
      <x:c r="E213" s="10"/>
      <x:c r="F213" s="10"/>
      <x:c r="G213" s="10"/>
      <x:c r="H213" s="10" t="n">
        <x:v>1</x:v>
      </x:c>
      <x:c r="I213" s="11"/>
      <x:c r="J213" s="11"/>
      <x:c r="K213" s="11" t="n">
        <x:f aca="0">SUM(F213*H213)</x:f>
        <x:v>0</x:v>
      </x:c>
      <x:c r="L213" s="11"/>
      <x:c r="M213" s="11"/>
      <x:c r="N213" s="11"/>
      <x:c r="O213" s="11"/>
      <x:c r="P213" s="11"/>
      <x:c r="Q213" s="11"/>
      <x:c r="T213"/>
    </x:row>
    <x:row r="214" ht="22.200000762939453" hidden="0">
      <x:c r="A214" s="10" t="s">
        <x:v>44</x:v>
      </x:c>
      <x:c r="B214" s="10"/>
      <x:c r="C214" s="10"/>
      <x:c r="D214" s="10"/>
      <x:c r="E214" s="10"/>
      <x:c r="F214" s="10"/>
      <x:c r="G214" s="10"/>
      <x:c r="H214" s="10" t="n">
        <x:v>11</x:v>
      </x:c>
      <x:c r="I214" s="11"/>
      <x:c r="J214" s="11"/>
      <x:c r="K214" s="11" t="n">
        <x:f aca="0">SUM(F214*H214)</x:f>
        <x:v>0</x:v>
      </x:c>
      <x:c r="L214" s="11"/>
      <x:c r="M214" s="11"/>
      <x:c r="N214" s="11"/>
      <x:c r="O214" s="11"/>
      <x:c r="P214" s="11"/>
      <x:c r="Q214" s="11"/>
      <x:c r="T214"/>
    </x:row>
    <x:row r="215" ht="22.200000762939453" hidden="0">
      <x:c r="A215" s="10" t="s">
        <x:v>45</x:v>
      </x:c>
      <x:c r="B215" s="10"/>
      <x:c r="C215" s="10"/>
      <x:c r="D215" s="10"/>
      <x:c r="E215" s="10"/>
      <x:c r="F215" s="10"/>
      <x:c r="G215" s="10"/>
      <x:c r="H215" s="10" t="n">
        <x:v>7</x:v>
      </x:c>
      <x:c r="I215" s="11"/>
      <x:c r="J215" s="11"/>
      <x:c r="K215" s="11" t="n">
        <x:f aca="0">SUM(F215*H215)</x:f>
        <x:v>0</x:v>
      </x:c>
      <x:c r="L215" s="11"/>
      <x:c r="M215" s="11"/>
      <x:c r="N215" s="11"/>
      <x:c r="O215" s="11"/>
      <x:c r="P215" s="11"/>
      <x:c r="Q215" s="11"/>
      <x:c r="T215"/>
    </x:row>
    <x:row r="216" ht="22.200000762939453" hidden="0">
      <x:c r="A216" s="12" t="s">
        <x:v>65</x:v>
      </x:c>
      <x:c r="B216" s="10"/>
      <x:c r="C216" s="10"/>
      <x:c r="D216" s="10"/>
      <x:c r="E216" s="10"/>
      <x:c r="F216" s="10"/>
      <x:c r="G216" s="10"/>
      <x:c r="H216" s="10" t="n">
        <x:v>50</x:v>
      </x:c>
      <x:c r="I216" s="11"/>
      <x:c r="J216" s="11"/>
      <x:c r="K216" s="11" t="n">
        <x:f aca="0">SUM(F216*H216)</x:f>
        <x:v>0</x:v>
      </x:c>
      <x:c r="L216" s="11"/>
      <x:c r="M216" s="11"/>
      <x:c r="N216" s="11"/>
      <x:c r="O216" s="11"/>
      <x:c r="P216" s="11"/>
      <x:c r="Q216" s="11"/>
      <x:c r="T216"/>
    </x:row>
    <x:row r="217" ht="22.200000762939453" hidden="0">
      <x:c r="A217" s="10" t="s">
        <x:v>47</x:v>
      </x:c>
      <x:c r="B217" s="10"/>
      <x:c r="C217" s="10"/>
      <x:c r="D217" s="10"/>
      <x:c r="E217" s="10"/>
      <x:c r="F217" s="10"/>
      <x:c r="G217" s="10"/>
      <x:c r="H217" s="10" t="n">
        <x:v>90</x:v>
      </x:c>
      <x:c r="I217" s="11"/>
      <x:c r="J217" s="11"/>
      <x:c r="K217" s="11" t="n">
        <x:f aca="0">SUM(F217*H217)</x:f>
        <x:v>0</x:v>
      </x:c>
      <x:c r="L217" s="11"/>
      <x:c r="M217" s="11"/>
      <x:c r="N217" s="11"/>
      <x:c r="O217" s="11"/>
      <x:c r="P217" s="11"/>
      <x:c r="Q217" s="11"/>
      <x:c r="T217"/>
    </x:row>
    <x:row r="218" ht="22.200000762939453" hidden="0">
      <x:c r="A218" s="10" t="s">
        <x:v>48</x:v>
      </x:c>
      <x:c r="B218" s="10"/>
      <x:c r="C218" s="10"/>
      <x:c r="D218" s="10"/>
      <x:c r="E218" s="10"/>
      <x:c r="F218" s="10"/>
      <x:c r="G218" s="10"/>
      <x:c r="H218" s="10" t="n">
        <x:v>275</x:v>
      </x:c>
      <x:c r="I218" s="11"/>
      <x:c r="J218" s="11"/>
      <x:c r="K218" s="11" t="n">
        <x:f aca="0">SUM(F218*H218)</x:f>
        <x:v>0</x:v>
      </x:c>
      <x:c r="L218" s="11"/>
      <x:c r="M218" s="11"/>
      <x:c r="N218" s="11"/>
      <x:c r="O218" s="11"/>
      <x:c r="P218" s="11"/>
      <x:c r="Q218" s="11"/>
      <x:c r="T218"/>
    </x:row>
    <x:row r="219" ht="22.200000762939453" hidden="0">
      <x:c r="A219" s="12" t="s">
        <x:v>49</x:v>
      </x:c>
      <x:c r="B219" s="10"/>
      <x:c r="C219" s="10"/>
      <x:c r="D219" s="10"/>
      <x:c r="E219" s="10"/>
      <x:c r="F219" s="10"/>
      <x:c r="G219" s="10"/>
      <x:c r="H219" s="10" t="n">
        <x:v>165</x:v>
      </x:c>
      <x:c r="I219" s="11"/>
      <x:c r="J219" s="11"/>
      <x:c r="K219" s="11" t="n">
        <x:f aca="0">SUM(F219*H219)</x:f>
        <x:v>0</x:v>
      </x:c>
      <x:c r="L219" s="11"/>
      <x:c r="M219" s="11"/>
      <x:c r="N219" s="11"/>
      <x:c r="O219" s="11"/>
      <x:c r="P219" s="11"/>
      <x:c r="Q219" s="11"/>
      <x:c r="T219"/>
    </x:row>
    <x:row r="220" ht="22.200000762939453" hidden="0">
      <x:c r="A220" s="12" t="s">
        <x:v>50</x:v>
      </x:c>
      <x:c r="B220" s="10"/>
      <x:c r="C220" s="10"/>
      <x:c r="D220" s="10"/>
      <x:c r="E220" s="10"/>
      <x:c r="F220" s="10"/>
      <x:c r="G220" s="10"/>
      <x:c r="H220" s="10"/>
      <x:c r="I220" s="11"/>
      <x:c r="J220" s="11"/>
      <x:c r="K220" s="11" t="n">
        <x:f aca="0">SUM(F220*H220)</x:f>
        <x:v>0</x:v>
      </x:c>
      <x:c r="L220" s="11"/>
      <x:c r="M220" s="11"/>
      <x:c r="N220" s="11"/>
      <x:c r="O220" s="11"/>
      <x:c r="P220" s="11"/>
      <x:c r="Q220" s="11"/>
      <x:c r="T220"/>
    </x:row>
    <x:row r="221" ht="22.200000762939453" hidden="0">
      <x:c r="A221" s="12" t="s">
        <x:v>51</x:v>
      </x:c>
      <x:c r="B221" s="10"/>
      <x:c r="C221" s="10"/>
      <x:c r="D221" s="10"/>
      <x:c r="E221" s="10"/>
      <x:c r="F221" s="10"/>
      <x:c r="G221" s="10"/>
      <x:c r="H221" s="10"/>
      <x:c r="I221" s="11"/>
      <x:c r="J221" s="11"/>
      <x:c r="K221" s="11" t="n">
        <x:f aca="0">SUM(F221*H221)</x:f>
        <x:v>0</x:v>
      </x:c>
      <x:c r="L221" s="11"/>
      <x:c r="M221" s="11"/>
      <x:c r="N221" s="11"/>
      <x:c r="O221" s="11"/>
      <x:c r="P221" s="11"/>
      <x:c r="Q221" s="11"/>
      <x:c r="T221"/>
    </x:row>
    <x:row r="222" ht="22.200000762939453" hidden="0">
      <x:c r="A222" s="12" t="s">
        <x:v>52</x:v>
      </x:c>
      <x:c r="B222" s="10"/>
      <x:c r="C222" s="10"/>
      <x:c r="D222" s="10"/>
      <x:c r="E222" s="10"/>
      <x:c r="F222" s="10"/>
      <x:c r="G222" s="10"/>
      <x:c r="H222" s="10"/>
      <x:c r="I222" s="11"/>
      <x:c r="J222" s="11"/>
      <x:c r="K222" s="11" t="n">
        <x:f aca="0">SUM(F222*H222)</x:f>
        <x:v>0</x:v>
      </x:c>
      <x:c r="L222" s="11"/>
      <x:c r="M222" s="11"/>
      <x:c r="N222" s="11"/>
      <x:c r="O222" s="11"/>
      <x:c r="P222" s="11"/>
      <x:c r="Q222" s="11"/>
      <x:c r="T222"/>
    </x:row>
    <x:row r="223" ht="22.200000762939453" hidden="0">
      <x:c r="A223" s="12" t="s">
        <x:v>53</x:v>
      </x:c>
      <x:c r="B223" s="10"/>
      <x:c r="C223" s="10"/>
      <x:c r="D223" s="10"/>
      <x:c r="E223" s="10"/>
      <x:c r="F223" s="10"/>
      <x:c r="G223" s="10"/>
      <x:c r="H223" s="10" t="n">
        <x:v>66</x:v>
      </x:c>
      <x:c r="I223" s="11"/>
      <x:c r="J223" s="11"/>
      <x:c r="K223" s="11" t="n">
        <x:f aca="0">SUM(F223*H223)</x:f>
        <x:v>0</x:v>
      </x:c>
      <x:c r="L223" s="11"/>
      <x:c r="M223" s="11"/>
      <x:c r="N223" s="11"/>
      <x:c r="O223" s="11"/>
      <x:c r="P223" s="11"/>
      <x:c r="Q223" s="11"/>
      <x:c r="T223"/>
    </x:row>
    <x:row r="224" ht="22.200000762939453" hidden="0">
      <x:c r="A224" s="10" t="s">
        <x:v>54</x:v>
      </x:c>
      <x:c r="B224" s="10"/>
      <x:c r="C224" s="10"/>
      <x:c r="D224" s="10"/>
      <x:c r="E224" s="10"/>
      <x:c r="F224" s="10"/>
      <x:c r="G224" s="10"/>
      <x:c r="H224" s="10" t="n">
        <x:v>220</x:v>
      </x:c>
      <x:c r="I224" s="11"/>
      <x:c r="J224" s="11"/>
      <x:c r="K224" s="11" t="n">
        <x:f aca="0">SUM(F224*H224)</x:f>
        <x:v>0</x:v>
      </x:c>
      <x:c r="L224" s="11"/>
      <x:c r="M224" s="11"/>
      <x:c r="N224" s="11"/>
      <x:c r="O224" s="11"/>
      <x:c r="P224" s="11"/>
      <x:c r="Q224" s="11"/>
      <x:c r="T224"/>
    </x:row>
    <x:row r="225" ht="22.200000762939453" hidden="0">
      <x:c r="A225" s="12" t="s">
        <x:v>55</x:v>
      </x:c>
      <x:c r="B225" s="10"/>
      <x:c r="C225" s="10"/>
      <x:c r="D225" s="10"/>
      <x:c r="E225" s="10"/>
      <x:c r="F225" s="10"/>
      <x:c r="G225" s="10"/>
      <x:c r="H225" s="10"/>
      <x:c r="I225" s="11"/>
      <x:c r="J225" s="11"/>
      <x:c r="K225" s="11" t="n">
        <x:f aca="0">SUM(F225*H225)</x:f>
        <x:v>0</x:v>
      </x:c>
      <x:c r="L225" s="11"/>
      <x:c r="M225" s="11"/>
      <x:c r="N225" s="11"/>
      <x:c r="O225" s="11"/>
      <x:c r="P225" s="11"/>
      <x:c r="Q225" s="11"/>
      <x:c r="T225"/>
    </x:row>
    <x:row r="226" ht="22.200000762939453" hidden="0">
      <x:c r="A226" s="10" t="s">
        <x:v>56</x:v>
      </x:c>
      <x:c r="B226" s="10"/>
      <x:c r="C226" s="10"/>
      <x:c r="D226" s="10"/>
      <x:c r="E226" s="10"/>
      <x:c r="F226" s="10"/>
      <x:c r="G226" s="10"/>
      <x:c r="H226" s="10" t="n">
        <x:v>800</x:v>
      </x:c>
      <x:c r="I226" s="11"/>
      <x:c r="J226" s="11"/>
      <x:c r="K226" s="11" t="n">
        <x:f aca="0">SUM(F226*H226)</x:f>
        <x:v>0</x:v>
      </x:c>
      <x:c r="L226" s="11"/>
      <x:c r="M226" s="11"/>
      <x:c r="N226" s="11"/>
      <x:c r="O226" s="11"/>
      <x:c r="P226" s="11"/>
      <x:c r="Q226" s="11"/>
      <x:c r="T226"/>
    </x:row>
    <x:row r="227" ht="22.200000762939453" hidden="0">
      <x:c r="A227" s="10" t="s">
        <x:v>57</x:v>
      </x:c>
      <x:c r="B227" s="10"/>
      <x:c r="C227" s="10"/>
      <x:c r="D227" s="10"/>
      <x:c r="E227" s="10"/>
      <x:c r="F227" s="10"/>
      <x:c r="G227" s="10"/>
      <x:c r="H227" s="10" t="n">
        <x:v>200</x:v>
      </x:c>
      <x:c r="I227" s="11"/>
      <x:c r="J227" s="11"/>
      <x:c r="K227" s="11" t="n">
        <x:f aca="0">SUM(F227*H227)</x:f>
        <x:v>0</x:v>
      </x:c>
      <x:c r="L227" s="11"/>
      <x:c r="M227" s="11"/>
      <x:c r="N227" s="11"/>
      <x:c r="O227" s="11"/>
      <x:c r="P227" s="11"/>
      <x:c r="Q227" s="11"/>
      <x:c r="T227"/>
    </x:row>
    <x:row r="228" ht="22.200000762939453" hidden="0">
      <x:c r="A228" s="10" t="s">
        <x:v>58</x:v>
      </x:c>
      <x:c r="B228" s="10"/>
      <x:c r="C228" s="10"/>
      <x:c r="D228" s="10"/>
      <x:c r="E228" s="10"/>
      <x:c r="F228" s="10"/>
      <x:c r="G228" s="10"/>
      <x:c r="H228" s="10" t="n">
        <x:v>150</x:v>
      </x:c>
      <x:c r="I228" s="11"/>
      <x:c r="J228" s="11"/>
      <x:c r="K228" s="11" t="n">
        <x:f aca="0">SUM(F228*H228)</x:f>
        <x:v>0</x:v>
      </x:c>
      <x:c r="L228" s="11"/>
      <x:c r="M228" s="11"/>
      <x:c r="N228" s="11"/>
      <x:c r="O228" s="11"/>
      <x:c r="P228" s="11"/>
      <x:c r="Q228" s="11"/>
      <x:c r="T228"/>
    </x:row>
    <x:row r="229" ht="22.200000762939453" hidden="0">
      <x:c r="A229" s="10" t="s">
        <x:v>59</x:v>
      </x:c>
      <x:c r="B229" s="10"/>
      <x:c r="C229" s="10"/>
      <x:c r="D229" s="10"/>
      <x:c r="E229" s="10"/>
      <x:c r="F229" s="10"/>
      <x:c r="G229" s="10"/>
      <x:c r="H229" s="10" t="n">
        <x:v>34</x:v>
      </x:c>
      <x:c r="I229" s="11"/>
      <x:c r="J229" s="11"/>
      <x:c r="K229" s="11" t="n">
        <x:f aca="0">SUM(F229*H229)</x:f>
        <x:v>0</x:v>
      </x:c>
      <x:c r="L229" s="11"/>
      <x:c r="M229" s="11"/>
      <x:c r="N229" s="11"/>
      <x:c r="O229" s="11"/>
      <x:c r="P229" s="11"/>
      <x:c r="Q229" s="11"/>
      <x:c r="T229"/>
    </x:row>
    <x:row r="230" ht="22.200000762939453" hidden="0">
      <x:c r="A230" s="10" t="s">
        <x:v>60</x:v>
      </x:c>
      <x:c r="B230" s="10"/>
      <x:c r="C230" s="10"/>
      <x:c r="D230" s="10"/>
      <x:c r="E230" s="10"/>
      <x:c r="F230" s="10"/>
      <x:c r="G230" s="10"/>
      <x:c r="H230" s="10" t="n">
        <x:v>6</x:v>
      </x:c>
      <x:c r="I230" s="11"/>
      <x:c r="J230" s="11"/>
      <x:c r="K230" s="11" t="n">
        <x:f aca="0">SUM(F230*H230)</x:f>
        <x:v>0</x:v>
      </x:c>
      <x:c r="L230" s="11"/>
      <x:c r="M230" s="11"/>
      <x:c r="N230" s="11"/>
      <x:c r="O230" s="11"/>
      <x:c r="P230" s="11"/>
      <x:c r="Q230" s="11"/>
      <x:c r="T230"/>
    </x:row>
    <x:row r="231" ht="22.200000762939453" hidden="0">
      <x:c r="A231" s="10" t="s">
        <x:v>61</x:v>
      </x:c>
      <x:c r="B231" s="10"/>
      <x:c r="C231" s="10"/>
      <x:c r="D231" s="10"/>
      <x:c r="E231" s="10"/>
      <x:c r="F231" s="10"/>
      <x:c r="G231" s="10"/>
      <x:c r="H231" s="10" t="n">
        <x:v>670</x:v>
      </x:c>
      <x:c r="I231" s="11"/>
      <x:c r="J231" s="11"/>
      <x:c r="K231" s="11" t="n">
        <x:f aca="0">SUM(F231*H231)</x:f>
        <x:v>0</x:v>
      </x:c>
      <x:c r="L231" s="11"/>
      <x:c r="M231" s="11"/>
      <x:c r="N231" s="11"/>
      <x:c r="O231" s="11"/>
      <x:c r="P231" s="11"/>
      <x:c r="Q231" s="11"/>
      <x:c r="T231"/>
    </x:row>
    <x:row r="232" ht="22.200000762939453" hidden="0">
      <x:c r="A232" s="10" t="s">
        <x:v>62</x:v>
      </x:c>
      <x:c r="B232" s="10"/>
      <x:c r="C232" s="10"/>
      <x:c r="D232" s="10"/>
      <x:c r="E232" s="10"/>
      <x:c r="F232" s="10"/>
      <x:c r="G232" s="10"/>
      <x:c r="H232" s="10" t="n">
        <x:v>110</x:v>
      </x:c>
      <x:c r="I232" s="11"/>
      <x:c r="J232" s="11"/>
      <x:c r="K232" s="11" t="n">
        <x:f aca="0">SUM(F232*H232)</x:f>
        <x:v>0</x:v>
      </x:c>
      <x:c r="L232" s="11"/>
      <x:c r="M232" s="11"/>
      <x:c r="N232" s="11"/>
      <x:c r="O232" s="11"/>
      <x:c r="P232" s="11"/>
      <x:c r="Q232" s="11"/>
      <x:c r="T232"/>
    </x:row>
    <x:row r="233" ht="22.200000762939453" hidden="0">
      <x:c r="A233" s="10" t="s">
        <x:v>63</x:v>
      </x:c>
      <x:c r="B233" s="10"/>
      <x:c r="C233" s="10"/>
      <x:c r="D233" s="10"/>
      <x:c r="E233" s="10"/>
      <x:c r="F233" s="10"/>
      <x:c r="G233" s="10"/>
      <x:c r="H233" s="10"/>
      <x:c r="I233" s="11"/>
      <x:c r="J233" s="11"/>
      <x:c r="K233" s="11" t="n">
        <x:f aca="0">SUM(F233*H233)</x:f>
        <x:v>0</x:v>
      </x:c>
      <x:c r="L233" s="11"/>
      <x:c r="M233" s="11"/>
      <x:c r="N233" s="11"/>
      <x:c r="O233" s="11"/>
      <x:c r="P233" s="11"/>
      <x:c r="Q233" s="11"/>
      <x:c r="T233"/>
    </x:row>
    <x:row r="234" ht="22.200000762939453" hidden="0">
      <x:c r="A234" s="10"/>
      <x:c r="B234" s="10"/>
      <x:c r="C234" s="10"/>
      <x:c r="D234" s="10"/>
      <x:c r="E234" s="10"/>
      <x:c r="F234" s="10"/>
      <x:c r="G234" s="10"/>
      <x:c r="H234" s="10"/>
      <x:c r="I234" s="11"/>
      <x:c r="J234" s="11"/>
      <x:c r="K234" s="11" t="n">
        <x:f aca="0">SUM(F234*H234)</x:f>
        <x:v>0</x:v>
      </x:c>
      <x:c r="L234" s="11"/>
      <x:c r="M234" s="11"/>
      <x:c r="N234" s="11"/>
      <x:c r="O234" s="11"/>
      <x:c r="P234" s="11"/>
      <x:c r="Q234" s="11"/>
      <x:c r="T234"/>
    </x:row>
    <x:row r="235" ht="22.200000762939453" hidden="0">
      <x:c r="A235" s="15"/>
      <x:c r="B235" s="15"/>
      <x:c r="C235" s="15"/>
      <x:c r="D235" s="15"/>
      <x:c r="E235" s="15"/>
      <x:c r="F235" s="15"/>
      <x:c r="G235" s="15"/>
      <x:c r="H235" s="15"/>
      <x:c r="I235" s="11" t="n">
        <x:f aca="0">SUM(B235*C235)/90000</x:f>
        <x:v>0</x:v>
      </x:c>
      <x:c r="J235" s="15" t="s">
        <x:v>17</x:v>
      </x:c>
      <x:c r="K235" s="16" t="n">
        <x:f aca="0">SUM(K162:K234)</x:f>
        <x:v>0</x:v>
      </x:c>
      <x:c r="L235" s="16" t="n">
        <x:f aca="0">SUM(K235*1.35)</x:f>
        <x:v>0</x:v>
      </x:c>
      <x:c r="M235" s="16"/>
      <x:c r="N235" s="16" t="n">
        <x:f aca="0">SUM(M235*1.25)</x:f>
        <x:v>0</x:v>
      </x:c>
      <x:c r="O235" s="16"/>
      <x:c r="P235" s="16"/>
      <x:c r="Q235" s="16"/>
      <x:c r="T235"/>
    </x:row>
    <x:row r="239" ht="22.200000762939453" hidden="0">
      <x:c r="A239" s="5"/>
      <x:c r="B239" s="5"/>
      <x:c r="C239" s="5"/>
      <x:c r="D239" s="5"/>
      <x:c r="E239" s="5"/>
      <x:c r="F239" s="5"/>
      <x:c r="G239" s="6"/>
      <x:c r="H239" s="5"/>
      <x:c r="I239" s="3"/>
      <x:c r="J239" s="3"/>
      <x:c r="K239" s="4"/>
      <x:c r="L239" s="4"/>
      <x:c r="M239" s="4"/>
      <x:c r="N239" s="4"/>
      <x:c r="O239" s="4"/>
      <x:c r="P239" s="4"/>
      <x:c r="Q239" s="4"/>
      <x:c r="R239" s="4"/>
    </x:row>
    <x:row r="240" ht="22.200000762939453" hidden="0">
      <x:c r="A240" s="7" t="s">
        <x:v>3</x:v>
      </x:c>
      <x:c r="B240" s="8" t="s">
        <x:v>4</x:v>
      </x:c>
      <x:c r="C240" s="8"/>
      <x:c r="D240" s="7" t="s">
        <x:v>5</x:v>
      </x:c>
      <x:c r="E240" s="7"/>
      <x:c r="F240" s="7" t="s">
        <x:v>6</x:v>
      </x:c>
      <x:c r="G240" s="7"/>
      <x:c r="H240" s="7" t="s">
        <x:v>7</x:v>
      </x:c>
      <x:c r="I240" s="7" t="s">
        <x:v>8</x:v>
      </x:c>
      <x:c r="J240" s="7" t="s">
        <x:v>9</x:v>
      </x:c>
      <x:c r="K240" s="7" t="s">
        <x:v>10</x:v>
      </x:c>
      <x:c r="L240" s="7"/>
      <x:c r="M240" s="7" t="s">
        <x:v>11</x:v>
      </x:c>
      <x:c r="N240" s="7" t="s">
        <x:v>12</x:v>
      </x:c>
      <x:c r="O240" s="7" t="s">
        <x:v>6</x:v>
      </x:c>
      <x:c r="P240" s="7" t="s">
        <x:v>13</x:v>
      </x:c>
      <x:c r="Q240" s="7" t="s">
        <x:v>14</x:v>
      </x:c>
      <x:c r="R240" s="9" t="s">
        <x:v>15</x:v>
      </x:c>
      <x:c r="S240" s="9" t="s">
        <x:v>16</x:v>
      </x:c>
      <x:c r="T240"/>
    </x:row>
    <x:row r="241" ht="22.200000762939453" hidden="0">
      <x:c r="A241" s="10" t="s">
        <x:v>18</x:v>
      </x:c>
      <x:c r="B241" s="10"/>
      <x:c r="C241" s="10"/>
      <x:c r="D241" s="10" t="n">
        <x:v>18</x:v>
      </x:c>
      <x:c r="E241" s="10"/>
      <x:c r="F241" s="10"/>
      <x:c r="G241" s="10"/>
      <x:c r="H241" s="10" t="n">
        <x:v>69</x:v>
      </x:c>
      <x:c r="I241" s="11" t="n">
        <x:f aca="0">ROUND((IF((B241*C241)/90000&lt;1,1))+IF((B241*C241)/90000&gt;=1,(B241*C241)/90000),1.1)</x:f>
        <x:v>1</x:v>
      </x:c>
      <x:c r="J241" s="11" t="n">
        <x:f aca="0">SUM(F241*I241)</x:f>
        <x:v>0</x:v>
      </x:c>
      <x:c r="K241" s="11" t="n">
        <x:f aca="0">SUM(H241*J241)</x:f>
        <x:v>0</x:v>
      </x:c>
      <x:c r="L241" s="11"/>
      <x:c r="M241" s="11" t="n">
        <x:f aca="0">SUM(C241-1)</x:f>
        <x:v>-1</x:v>
      </x:c>
      <x:c r="N241" s="11" t="n">
        <x:f aca="0">SUM(B241-1)</x:f>
        <x:v>-1</x:v>
      </x:c>
      <x:c r="O241" s="11" t="n">
        <x:f aca="0">SUM(F241*1)</x:f>
        <x:v>0</x:v>
      </x:c>
      <x:c r="P241" s="11"/>
      <x:c r="Q241" s="11" t="str">
        <x:f aca="0">A241</x:f>
        <x:v>側板</x:v>
      </x:c>
      <x:c r="R241" s="1" t="n">
        <x:f aca="0">SUM(B241*2+C241*2)*F241</x:f>
        <x:v>0</x:v>
      </x:c>
      <x:c r="T241"/>
    </x:row>
    <x:row r="242" ht="22.200000762939453" hidden="0">
      <x:c r="A242" s="10" t="s">
        <x:v>18</x:v>
      </x:c>
      <x:c r="B242" s="10"/>
      <x:c r="C242" s="10"/>
      <x:c r="D242" s="10" t="n">
        <x:v>18</x:v>
      </x:c>
      <x:c r="E242" s="10"/>
      <x:c r="F242" s="10"/>
      <x:c r="G242" s="10"/>
      <x:c r="H242" s="10" t="n">
        <x:v>69</x:v>
      </x:c>
      <x:c r="I242" s="11" t="n">
        <x:f aca="0">ROUND((IF((B242*C242)/90000&lt;1,1))+IF((B242*C242)/90000&gt;=1,(B242*C242)/90000),1.1)</x:f>
        <x:v>1</x:v>
      </x:c>
      <x:c r="J242" s="11" t="n">
        <x:f aca="0">SUM(F242*I242)</x:f>
        <x:v>0</x:v>
      </x:c>
      <x:c r="K242" s="11" t="n">
        <x:f aca="0">SUM(H242*J242)</x:f>
        <x:v>0</x:v>
      </x:c>
      <x:c r="L242" s="11"/>
      <x:c r="M242" s="11" t="n">
        <x:f aca="0">SUM(C242-1)</x:f>
        <x:v>-1</x:v>
      </x:c>
      <x:c r="N242" s="11" t="n">
        <x:f aca="0">SUM(B242-1)</x:f>
        <x:v>-1</x:v>
      </x:c>
      <x:c r="O242" s="11" t="n">
        <x:f aca="0">SUM(F242*1)</x:f>
        <x:v>0</x:v>
      </x:c>
      <x:c r="P242" s="11"/>
      <x:c r="Q242" s="11" t="str">
        <x:f aca="0">A242</x:f>
        <x:v>側板</x:v>
      </x:c>
      <x:c r="R242" s="1" t="n">
        <x:f aca="0">SUM(B242*2+C242*2)*F242</x:f>
        <x:v>0</x:v>
      </x:c>
      <x:c r="T242"/>
    </x:row>
    <x:row r="243" ht="22.200000762939453" hidden="0">
      <x:c r="A243" s="10" t="s">
        <x:v>18</x:v>
      </x:c>
      <x:c r="B243" s="10"/>
      <x:c r="C243" s="10"/>
      <x:c r="D243" s="10" t="n">
        <x:v>18</x:v>
      </x:c>
      <x:c r="E243" s="10"/>
      <x:c r="F243" s="10"/>
      <x:c r="G243" s="10"/>
      <x:c r="H243" s="10" t="n">
        <x:v>69</x:v>
      </x:c>
      <x:c r="I243" s="11" t="n">
        <x:f aca="0">ROUND((IF((B243*C243)/90000&lt;1,1))+IF((B243*C243)/90000&gt;=1,(B243*C243)/90000),1.1)</x:f>
        <x:v>1</x:v>
      </x:c>
      <x:c r="J243" s="11" t="n">
        <x:f aca="0">SUM(F243*I243)</x:f>
        <x:v>0</x:v>
      </x:c>
      <x:c r="K243" s="11" t="n">
        <x:f aca="0">SUM(H243*J243)</x:f>
        <x:v>0</x:v>
      </x:c>
      <x:c r="L243" s="11"/>
      <x:c r="M243" s="11" t="n">
        <x:f aca="0">SUM(C243-1)</x:f>
        <x:v>-1</x:v>
      </x:c>
      <x:c r="N243" s="11" t="n">
        <x:f aca="0">SUM(B243-1)</x:f>
        <x:v>-1</x:v>
      </x:c>
      <x:c r="O243" s="11" t="n">
        <x:f aca="0">SUM(F243*1)</x:f>
        <x:v>0</x:v>
      </x:c>
      <x:c r="P243" s="11"/>
      <x:c r="Q243" s="11" t="str">
        <x:f aca="0">A243</x:f>
        <x:v>側板</x:v>
      </x:c>
      <x:c r="R243" s="1" t="n">
        <x:f aca="0">SUM(B243*2+C243*2)*F243</x:f>
        <x:v>0</x:v>
      </x:c>
      <x:c r="T243"/>
    </x:row>
    <x:row r="244" ht="22.200000762939453" hidden="0">
      <x:c r="A244" s="10" t="s">
        <x:v>19</x:v>
      </x:c>
      <x:c r="B244" s="10"/>
      <x:c r="C244" s="10"/>
      <x:c r="D244" s="10" t="n">
        <x:v>18</x:v>
      </x:c>
      <x:c r="E244" s="10"/>
      <x:c r="F244" s="10"/>
      <x:c r="G244" s="10"/>
      <x:c r="H244" s="10" t="n">
        <x:v>69</x:v>
      </x:c>
      <x:c r="I244" s="11" t="n">
        <x:f aca="0">ROUND((IF((B244*C244)/90000&lt;1,1))+IF((B244*C244)/90000&gt;=1,(B244*C244)/90000),1.1)</x:f>
        <x:v>1</x:v>
      </x:c>
      <x:c r="J244" s="11" t="n">
        <x:f aca="0">SUM(F244*I244)</x:f>
        <x:v>0</x:v>
      </x:c>
      <x:c r="K244" s="11" t="n">
        <x:f aca="0">SUM(H244*J244)</x:f>
        <x:v>0</x:v>
      </x:c>
      <x:c r="L244" s="11"/>
      <x:c r="M244" s="11" t="n">
        <x:f aca="0">SUM(C244)</x:f>
        <x:v>0</x:v>
      </x:c>
      <x:c r="N244" s="11" t="n">
        <x:f aca="0">SUM(B244-1)</x:f>
        <x:v>-1</x:v>
      </x:c>
      <x:c r="O244" s="11" t="n">
        <x:f aca="0">SUM(F244*1)</x:f>
        <x:v>0</x:v>
      </x:c>
      <x:c r="P244" s="11"/>
      <x:c r="Q244" s="11" t="str">
        <x:f aca="0">A244</x:f>
        <x:v>頂底板</x:v>
      </x:c>
      <x:c r="R244" s="1" t="n">
        <x:f aca="0">SUM(C244*2)*F244</x:f>
        <x:v>0</x:v>
      </x:c>
      <x:c r="T244"/>
    </x:row>
    <x:row r="245" ht="22.200000762939453" hidden="0">
      <x:c r="A245" s="10" t="s">
        <x:v>19</x:v>
      </x:c>
      <x:c r="B245" s="10"/>
      <x:c r="C245" s="10"/>
      <x:c r="D245" s="10" t="n">
        <x:v>18</x:v>
      </x:c>
      <x:c r="E245" s="10"/>
      <x:c r="F245" s="10"/>
      <x:c r="G245" s="10"/>
      <x:c r="H245" s="10" t="n">
        <x:v>69</x:v>
      </x:c>
      <x:c r="I245" s="11" t="n">
        <x:f aca="0">ROUND((IF((B245*C245)/90000&lt;1,1))+IF((B245*C245)/90000&gt;=1,(B245*C245)/90000),1.1)</x:f>
        <x:v>1</x:v>
      </x:c>
      <x:c r="J245" s="11" t="n">
        <x:f aca="0">SUM(F245*I245)</x:f>
        <x:v>0</x:v>
      </x:c>
      <x:c r="K245" s="11" t="n">
        <x:f aca="0">SUM(H245*J245)</x:f>
        <x:v>0</x:v>
      </x:c>
      <x:c r="L245" s="11"/>
      <x:c r="M245" s="11" t="n">
        <x:f aca="0">SUM(C245)</x:f>
        <x:v>0</x:v>
      </x:c>
      <x:c r="N245" s="11" t="n">
        <x:f aca="0">SUM(B245-1)</x:f>
        <x:v>-1</x:v>
      </x:c>
      <x:c r="O245" s="11" t="n">
        <x:f aca="0">SUM(F245*1)</x:f>
        <x:v>0</x:v>
      </x:c>
      <x:c r="P245" s="11"/>
      <x:c r="Q245" s="11" t="str">
        <x:f aca="0">A245</x:f>
        <x:v>頂底板</x:v>
      </x:c>
      <x:c r="R245" s="1" t="n">
        <x:f aca="0">SUM(C245*2)*F245</x:f>
        <x:v>0</x:v>
      </x:c>
      <x:c r="T245"/>
    </x:row>
    <x:row r="246" ht="22.200000762939453" hidden="0">
      <x:c r="A246" s="10" t="s">
        <x:v>19</x:v>
      </x:c>
      <x:c r="B246" s="10"/>
      <x:c r="C246" s="10"/>
      <x:c r="D246" s="10" t="n">
        <x:v>18</x:v>
      </x:c>
      <x:c r="E246" s="10"/>
      <x:c r="F246" s="10"/>
      <x:c r="G246" s="10"/>
      <x:c r="H246" s="10" t="n">
        <x:v>69</x:v>
      </x:c>
      <x:c r="I246" s="11" t="n">
        <x:f aca="0">ROUND((IF((B246*C246)/90000&lt;1,1))+IF((B246*C246)/90000&gt;=1,(B246*C246)/90000),1.1)</x:f>
        <x:v>1</x:v>
      </x:c>
      <x:c r="J246" s="11" t="n">
        <x:f aca="0">SUM(F246*I246)</x:f>
        <x:v>0</x:v>
      </x:c>
      <x:c r="K246" s="11" t="n">
        <x:f aca="0">SUM(H246*J246)</x:f>
        <x:v>0</x:v>
      </x:c>
      <x:c r="L246" s="11"/>
      <x:c r="M246" s="11" t="n">
        <x:f aca="0">SUM(C246)</x:f>
        <x:v>0</x:v>
      </x:c>
      <x:c r="N246" s="11" t="n">
        <x:f aca="0">SUM(B246-1)</x:f>
        <x:v>-1</x:v>
      </x:c>
      <x:c r="O246" s="11" t="n">
        <x:f aca="0">SUM(F246*1)</x:f>
        <x:v>0</x:v>
      </x:c>
      <x:c r="P246" s="11"/>
      <x:c r="Q246" s="11" t="str">
        <x:f aca="0">A246</x:f>
        <x:v>頂底板</x:v>
      </x:c>
      <x:c r="R246" s="1" t="n">
        <x:f aca="0">SUM(C246*2)*F246</x:f>
        <x:v>0</x:v>
      </x:c>
      <x:c r="T246"/>
    </x:row>
    <x:row r="247" ht="22.200000762939453" hidden="0">
      <x:c r="A247" s="10" t="s">
        <x:v>20</x:v>
      </x:c>
      <x:c r="B247" s="10"/>
      <x:c r="C247" s="10"/>
      <x:c r="D247" s="10" t="n">
        <x:v>18</x:v>
      </x:c>
      <x:c r="E247" s="10"/>
      <x:c r="F247" s="10"/>
      <x:c r="G247" s="10"/>
      <x:c r="H247" s="10" t="n">
        <x:v>74</x:v>
      </x:c>
      <x:c r="I247" s="11" t="n">
        <x:f aca="0">ROUND((IF((B247*C247)/90000&lt;1,1))+IF((B247*C247)/90000&gt;=1,(B247*C247)/90000),1.1)</x:f>
        <x:v>1</x:v>
      </x:c>
      <x:c r="J247" s="11" t="n">
        <x:f aca="0">SUM(F247*I247)</x:f>
        <x:v>0</x:v>
      </x:c>
      <x:c r="K247" s="11" t="n">
        <x:f aca="0">SUM(H247*J247)</x:f>
        <x:v>0</x:v>
      </x:c>
      <x:c r="L247" s="11"/>
      <x:c r="M247" s="11" t="n">
        <x:f aca="0">SUM(C247)</x:f>
        <x:v>0</x:v>
      </x:c>
      <x:c r="N247" s="11" t="n">
        <x:f aca="0">SUM(B247-1)</x:f>
        <x:v>-1</x:v>
      </x:c>
      <x:c r="O247" s="11" t="n">
        <x:f aca="0">SUM(F247*1)</x:f>
        <x:v>0</x:v>
      </x:c>
      <x:c r="P247" s="11"/>
      <x:c r="Q247" s="11" t="str">
        <x:f aca="0">A247</x:f>
        <x:v>中立板</x:v>
      </x:c>
      <x:c r="R247" s="1" t="n">
        <x:f aca="0">SUM(C247*1)*F247</x:f>
        <x:v>0</x:v>
      </x:c>
      <x:c r="T247"/>
    </x:row>
    <x:row r="248" ht="22.200000762939453" hidden="0">
      <x:c r="A248" s="10" t="s">
        <x:v>20</x:v>
      </x:c>
      <x:c r="B248" s="10"/>
      <x:c r="C248" s="10"/>
      <x:c r="D248" s="10" t="n">
        <x:v>18</x:v>
      </x:c>
      <x:c r="E248" s="10"/>
      <x:c r="F248" s="10"/>
      <x:c r="G248" s="10"/>
      <x:c r="H248" s="10" t="n">
        <x:v>74</x:v>
      </x:c>
      <x:c r="I248" s="11" t="n">
        <x:f aca="0">ROUND((IF((B248*C248)/90000&lt;1,1))+IF((B248*C248)/90000&gt;=1,(B248*C248)/90000),1.1)</x:f>
        <x:v>1</x:v>
      </x:c>
      <x:c r="J248" s="11" t="n">
        <x:f aca="0">SUM(F248*I248)</x:f>
        <x:v>0</x:v>
      </x:c>
      <x:c r="K248" s="11" t="n">
        <x:f aca="0">SUM(H248*J248)</x:f>
        <x:v>0</x:v>
      </x:c>
      <x:c r="L248" s="11"/>
      <x:c r="M248" s="11" t="n">
        <x:f aca="0">SUM(C248)</x:f>
        <x:v>0</x:v>
      </x:c>
      <x:c r="N248" s="11" t="n">
        <x:f aca="0">SUM(B248-1)</x:f>
        <x:v>-1</x:v>
      </x:c>
      <x:c r="O248" s="11" t="n">
        <x:f aca="0">SUM(F248*1)</x:f>
        <x:v>0</x:v>
      </x:c>
      <x:c r="P248" s="11"/>
      <x:c r="Q248" s="11" t="str">
        <x:f aca="0">A248</x:f>
        <x:v>中立板</x:v>
      </x:c>
      <x:c r="R248" s="1" t="n">
        <x:f aca="0">SUM(C248*1)*F248</x:f>
        <x:v>0</x:v>
      </x:c>
      <x:c r="T248"/>
    </x:row>
    <x:row r="249" ht="22.200000762939453" hidden="0">
      <x:c r="A249" s="10" t="s">
        <x:v>21</x:v>
      </x:c>
      <x:c r="B249" s="10"/>
      <x:c r="C249" s="10"/>
      <x:c r="D249" s="10" t="n">
        <x:v>18</x:v>
      </x:c>
      <x:c r="E249" s="10"/>
      <x:c r="F249" s="10"/>
      <x:c r="G249" s="10"/>
      <x:c r="H249" s="10" t="n">
        <x:v>69</x:v>
      </x:c>
      <x:c r="I249" s="11" t="n">
        <x:f aca="0">ROUND((IF((B249*C249)/90000&lt;1,1))+IF((B249*C249)/90000&gt;=1,(B249*C249)/90000),1.1)</x:f>
        <x:v>1</x:v>
      </x:c>
      <x:c r="J249" s="11" t="n">
        <x:f aca="0">SUM(F249*I249)</x:f>
        <x:v>0</x:v>
      </x:c>
      <x:c r="K249" s="11" t="n">
        <x:f aca="0">SUM(H249*J249)</x:f>
        <x:v>0</x:v>
      </x:c>
      <x:c r="L249" s="11"/>
      <x:c r="M249" s="11" t="n">
        <x:f aca="0">SUM(C249)</x:f>
        <x:v>0</x:v>
      </x:c>
      <x:c r="N249" s="11" t="n">
        <x:f aca="0">SUM(B249-1)</x:f>
        <x:v>-1</x:v>
      </x:c>
      <x:c r="O249" s="11" t="n">
        <x:f aca="0">SUM(F249*1)</x:f>
        <x:v>0</x:v>
      </x:c>
      <x:c r="P249" s="11"/>
      <x:c r="Q249" s="11" t="str">
        <x:f aca="0">A249</x:f>
        <x:v>固格板</x:v>
      </x:c>
      <x:c r="R249" s="1" t="n">
        <x:f aca="0">SUM(C249*1)*F249</x:f>
        <x:v>0</x:v>
      </x:c>
      <x:c r="T249"/>
    </x:row>
    <x:row r="250" ht="22.200000762939453" hidden="0">
      <x:c r="A250" s="10" t="s">
        <x:v>21</x:v>
      </x:c>
      <x:c r="B250" s="10"/>
      <x:c r="C250" s="10"/>
      <x:c r="D250" s="10" t="n">
        <x:v>18</x:v>
      </x:c>
      <x:c r="E250" s="10"/>
      <x:c r="F250" s="10"/>
      <x:c r="G250" s="10"/>
      <x:c r="H250" s="10" t="n">
        <x:v>69</x:v>
      </x:c>
      <x:c r="I250" s="11" t="n">
        <x:f aca="0">ROUND((IF((B250*C250)/90000&lt;1,1))+IF((B250*C250)/90000&gt;=1,(B250*C250)/90000),1.1)</x:f>
        <x:v>1</x:v>
      </x:c>
      <x:c r="J250" s="11" t="n">
        <x:f aca="0">SUM(F250*I250)</x:f>
        <x:v>0</x:v>
      </x:c>
      <x:c r="K250" s="11" t="n">
        <x:f aca="0">SUM(H250*J250)</x:f>
        <x:v>0</x:v>
      </x:c>
      <x:c r="L250" s="11"/>
      <x:c r="M250" s="11" t="n">
        <x:f aca="0">SUM(C250)</x:f>
        <x:v>0</x:v>
      </x:c>
      <x:c r="N250" s="11" t="n">
        <x:f aca="0">SUM(B250-1)</x:f>
        <x:v>-1</x:v>
      </x:c>
      <x:c r="O250" s="11" t="n">
        <x:f aca="0">SUM(F250*1)</x:f>
        <x:v>0</x:v>
      </x:c>
      <x:c r="P250" s="11"/>
      <x:c r="Q250" s="11" t="str">
        <x:f aca="0">A250</x:f>
        <x:v>固格板</x:v>
      </x:c>
      <x:c r="R250" s="1" t="n">
        <x:f aca="0">SUM(C250*1)*F250</x:f>
        <x:v>0</x:v>
      </x:c>
      <x:c r="T250"/>
    </x:row>
    <x:row r="251" ht="22.200000762939453" hidden="0">
      <x:c r="A251" s="10" t="s">
        <x:v>21</x:v>
      </x:c>
      <x:c r="B251" s="10"/>
      <x:c r="C251" s="10"/>
      <x:c r="D251" s="10" t="n">
        <x:v>18</x:v>
      </x:c>
      <x:c r="E251" s="10"/>
      <x:c r="F251" s="10"/>
      <x:c r="G251" s="10"/>
      <x:c r="H251" s="10" t="n">
        <x:v>69</x:v>
      </x:c>
      <x:c r="I251" s="11" t="n">
        <x:f aca="0">ROUND((IF((B251*C251)/90000&lt;1,1))+IF((B251*C251)/90000&gt;=1,(B251*C251)/90000),1.1)</x:f>
        <x:v>1</x:v>
      </x:c>
      <x:c r="J251" s="11" t="n">
        <x:f aca="0">SUM(F251*I251)</x:f>
        <x:v>0</x:v>
      </x:c>
      <x:c r="K251" s="11" t="n">
        <x:f aca="0">SUM(H251*J251)</x:f>
        <x:v>0</x:v>
      </x:c>
      <x:c r="L251" s="11"/>
      <x:c r="M251" s="11" t="n">
        <x:f aca="0">SUM(C251)</x:f>
        <x:v>0</x:v>
      </x:c>
      <x:c r="N251" s="11" t="n">
        <x:f aca="0">SUM(B251-1)</x:f>
        <x:v>-1</x:v>
      </x:c>
      <x:c r="O251" s="11" t="n">
        <x:f aca="0">SUM(F251*1)</x:f>
        <x:v>0</x:v>
      </x:c>
      <x:c r="P251" s="11"/>
      <x:c r="Q251" s="11" t="str">
        <x:f aca="0">A251</x:f>
        <x:v>固格板</x:v>
      </x:c>
      <x:c r="R251" s="1" t="n">
        <x:f aca="0">SUM(C251*1)*F251</x:f>
        <x:v>0</x:v>
      </x:c>
      <x:c r="T251"/>
    </x:row>
    <x:row r="252" ht="22.200000762939453" hidden="0">
      <x:c r="A252" s="10" t="s">
        <x:v>22</x:v>
      </x:c>
      <x:c r="B252" s="10"/>
      <x:c r="C252" s="10"/>
      <x:c r="D252" s="10" t="n">
        <x:v>18</x:v>
      </x:c>
      <x:c r="E252" s="10"/>
      <x:c r="F252" s="10"/>
      <x:c r="G252" s="10"/>
      <x:c r="H252" s="10" t="n">
        <x:v>69</x:v>
      </x:c>
      <x:c r="I252" s="11" t="n">
        <x:f aca="0">ROUND((IF((B252*C252)/90000&lt;1,1))+IF((B252*C252)/90000&gt;=1,(B252*C252)/90000),1.1)</x:f>
        <x:v>1</x:v>
      </x:c>
      <x:c r="J252" s="11" t="n">
        <x:f aca="0">SUM(F252*I252)</x:f>
        <x:v>0</x:v>
      </x:c>
      <x:c r="K252" s="11" t="n">
        <x:f aca="0">SUM(H252*J252)</x:f>
        <x:v>0</x:v>
      </x:c>
      <x:c r="L252" s="11"/>
      <x:c r="M252" s="11" t="n">
        <x:f aca="0">SUM(C252-1)</x:f>
        <x:v>-1</x:v>
      </x:c>
      <x:c r="N252" s="11" t="n">
        <x:f aca="0">SUM(B252-1)</x:f>
        <x:v>-1</x:v>
      </x:c>
      <x:c r="O252" s="11" t="n">
        <x:f aca="0">SUM(F252*1)</x:f>
        <x:v>0</x:v>
      </x:c>
      <x:c r="P252" s="11"/>
      <x:c r="Q252" s="11" t="str">
        <x:f aca="0">A252</x:f>
        <x:v>活格板</x:v>
      </x:c>
      <x:c r="R252" s="1" t="n">
        <x:f aca="0">SUM(B252*2+C252*2)*F252</x:f>
        <x:v>0</x:v>
      </x:c>
      <x:c r="T252"/>
    </x:row>
    <x:row r="253" ht="22.200000762939453" hidden="0">
      <x:c r="A253" s="10" t="s">
        <x:v>22</x:v>
      </x:c>
      <x:c r="B253" s="10"/>
      <x:c r="C253" s="10"/>
      <x:c r="D253" s="10" t="n">
        <x:v>18</x:v>
      </x:c>
      <x:c r="E253" s="10"/>
      <x:c r="F253" s="10"/>
      <x:c r="G253" s="10"/>
      <x:c r="H253" s="10" t="n">
        <x:v>69</x:v>
      </x:c>
      <x:c r="I253" s="11" t="n">
        <x:f aca="0">ROUND((IF((B253*C253)/90000&lt;1,1))+IF((B253*C253)/90000&gt;=1,(B253*C253)/90000),1.1)</x:f>
        <x:v>1</x:v>
      </x:c>
      <x:c r="J253" s="11" t="n">
        <x:f aca="0">SUM(F253*I253)</x:f>
        <x:v>0</x:v>
      </x:c>
      <x:c r="K253" s="11" t="n">
        <x:f aca="0">SUM(H253*J253)</x:f>
        <x:v>0</x:v>
      </x:c>
      <x:c r="L253" s="11"/>
      <x:c r="M253" s="11" t="n">
        <x:f aca="0">SUM(C253-1)</x:f>
        <x:v>-1</x:v>
      </x:c>
      <x:c r="N253" s="11" t="n">
        <x:f aca="0">SUM(B253-1)</x:f>
        <x:v>-1</x:v>
      </x:c>
      <x:c r="O253" s="11" t="n">
        <x:f aca="0">SUM(F253*1)</x:f>
        <x:v>0</x:v>
      </x:c>
      <x:c r="P253" s="11"/>
      <x:c r="Q253" s="11" t="str">
        <x:f aca="0">A253</x:f>
        <x:v>活格板</x:v>
      </x:c>
      <x:c r="R253" s="1" t="n">
        <x:f aca="0">SUM(B253*2+C253*2)*F253</x:f>
        <x:v>0</x:v>
      </x:c>
      <x:c r="T253"/>
    </x:row>
    <x:row r="254" ht="22.200000762939453" hidden="0">
      <x:c r="A254" s="10" t="s">
        <x:v>22</x:v>
      </x:c>
      <x:c r="B254" s="10"/>
      <x:c r="C254" s="10"/>
      <x:c r="D254" s="10" t="n">
        <x:v>18</x:v>
      </x:c>
      <x:c r="E254" s="10"/>
      <x:c r="F254" s="10"/>
      <x:c r="G254" s="10"/>
      <x:c r="H254" s="10" t="n">
        <x:v>69</x:v>
      </x:c>
      <x:c r="I254" s="11" t="n">
        <x:f aca="0">ROUND((IF((B254*C254)/90000&lt;1,1))+IF((B254*C254)/90000&gt;=1,(B254*C254)/90000),1.1)</x:f>
        <x:v>1</x:v>
      </x:c>
      <x:c r="J254" s="11" t="n">
        <x:f aca="0">SUM(F254*I254)</x:f>
        <x:v>0</x:v>
      </x:c>
      <x:c r="K254" s="11" t="n">
        <x:f aca="0">SUM(H254*J254)</x:f>
        <x:v>0</x:v>
      </x:c>
      <x:c r="L254" s="11"/>
      <x:c r="M254" s="11" t="n">
        <x:f aca="0">SUM(C254-1)</x:f>
        <x:v>-1</x:v>
      </x:c>
      <x:c r="N254" s="11" t="n">
        <x:f aca="0">SUM(B254-1)</x:f>
        <x:v>-1</x:v>
      </x:c>
      <x:c r="O254" s="11" t="n">
        <x:f aca="0">SUM(F254*1)</x:f>
        <x:v>0</x:v>
      </x:c>
      <x:c r="P254" s="11"/>
      <x:c r="Q254" s="11" t="str">
        <x:f aca="0">A254</x:f>
        <x:v>活格板</x:v>
      </x:c>
      <x:c r="R254" s="1" t="n">
        <x:f aca="0">SUM(B254*2+C254*2)*F254</x:f>
        <x:v>0</x:v>
      </x:c>
      <x:c r="T254"/>
    </x:row>
    <x:row r="255" ht="22.200000762939453" hidden="0">
      <x:c r="A255" s="10" t="s">
        <x:v>22</x:v>
      </x:c>
      <x:c r="B255" s="10"/>
      <x:c r="C255" s="10"/>
      <x:c r="D255" s="10" t="n">
        <x:v>18</x:v>
      </x:c>
      <x:c r="E255" s="10"/>
      <x:c r="F255" s="10"/>
      <x:c r="G255" s="10"/>
      <x:c r="H255" s="10" t="n">
        <x:v>69</x:v>
      </x:c>
      <x:c r="I255" s="11" t="n">
        <x:f aca="0">ROUND((IF((B255*C255)/90000&lt;1,1))+IF((B255*C255)/90000&gt;=1,(B255*C255)/90000),1.1)</x:f>
        <x:v>1</x:v>
      </x:c>
      <x:c r="J255" s="11" t="n">
        <x:f aca="0">SUM(F255*I255)</x:f>
        <x:v>0</x:v>
      </x:c>
      <x:c r="K255" s="11" t="n">
        <x:f aca="0">SUM(H255*J255)</x:f>
        <x:v>0</x:v>
      </x:c>
      <x:c r="L255" s="11"/>
      <x:c r="M255" s="11" t="n">
        <x:f aca="0">SUM(C255-1)</x:f>
        <x:v>-1</x:v>
      </x:c>
      <x:c r="N255" s="11" t="n">
        <x:f aca="0">SUM(B255-1)</x:f>
        <x:v>-1</x:v>
      </x:c>
      <x:c r="O255" s="11" t="n">
        <x:f aca="0">SUM(F255*1)</x:f>
        <x:v>0</x:v>
      </x:c>
      <x:c r="P255" s="11"/>
      <x:c r="Q255" s="11" t="str">
        <x:f aca="0">A255</x:f>
        <x:v>活格板</x:v>
      </x:c>
      <x:c r="R255" s="1" t="n">
        <x:f aca="0">SUM(B255*2+C255*2)*F255</x:f>
        <x:v>0</x:v>
      </x:c>
      <x:c r="T255"/>
    </x:row>
    <x:row r="256" ht="22.200000762939453" hidden="0">
      <x:c r="A256" s="10" t="s">
        <x:v>23</x:v>
      </x:c>
      <x:c r="B256" s="10"/>
      <x:c r="C256" s="10"/>
      <x:c r="D256" s="10" t="n">
        <x:v>18</x:v>
      </x:c>
      <x:c r="E256" s="10"/>
      <x:c r="F256" s="10"/>
      <x:c r="G256" s="10"/>
      <x:c r="H256" s="10" t="n">
        <x:v>69</x:v>
      </x:c>
      <x:c r="I256" s="11" t="n">
        <x:f aca="0">ROUND((IF((B256*C256)/90000&lt;1,1))+IF((B256*C256)/90000&gt;=1,(B256*C256)/90000),1.1)</x:f>
        <x:v>1</x:v>
      </x:c>
      <x:c r="J256" s="11" t="n">
        <x:f aca="0">SUM(F256*I256)</x:f>
        <x:v>0</x:v>
      </x:c>
      <x:c r="K256" s="11" t="n">
        <x:f aca="0">SUM(H256*J256)</x:f>
        <x:v>0</x:v>
      </x:c>
      <x:c r="L256" s="11"/>
      <x:c r="M256" s="11" t="n">
        <x:f aca="0">SUM(C256-1)</x:f>
        <x:v>-1</x:v>
      </x:c>
      <x:c r="N256" s="11" t="n">
        <x:f aca="0">SUM(B256-1)</x:f>
        <x:v>-1</x:v>
      </x:c>
      <x:c r="O256" s="11" t="n">
        <x:f aca="0">SUM(F256*1)</x:f>
        <x:v>0</x:v>
      </x:c>
      <x:c r="P256" s="11"/>
      <x:c r="Q256" s="11" t="str">
        <x:f aca="0">A256</x:f>
        <x:v>抽框</x:v>
      </x:c>
      <x:c r="R256" s="1" t="n">
        <x:f aca="0">SUM(B256*2+C256*2)*F256</x:f>
        <x:v>0</x:v>
      </x:c>
      <x:c r="T256"/>
    </x:row>
    <x:row r="257" ht="22.200000762939453" hidden="0">
      <x:c r="A257" s="10" t="s">
        <x:v>24</x:v>
      </x:c>
      <x:c r="B257" s="10"/>
      <x:c r="C257" s="10"/>
      <x:c r="D257" s="10" t="n">
        <x:v>18</x:v>
      </x:c>
      <x:c r="E257" s="10"/>
      <x:c r="F257" s="10"/>
      <x:c r="G257" s="10"/>
      <x:c r="H257" s="10" t="n">
        <x:v>69</x:v>
      </x:c>
      <x:c r="I257" s="11" t="n">
        <x:f aca="0">ROUND((IF((B257*C257)/90000&lt;1,1))+IF((B257*C257)/90000&gt;=1,(B257*C257)/90000),1.1)</x:f>
        <x:v>1</x:v>
      </x:c>
      <x:c r="J257" s="11" t="n">
        <x:f aca="0">SUM(F257*I257)</x:f>
        <x:v>0</x:v>
      </x:c>
      <x:c r="K257" s="11" t="n">
        <x:f aca="0">SUM(H257*J257)</x:f>
        <x:v>0</x:v>
      </x:c>
      <x:c r="L257" s="11"/>
      <x:c r="M257" s="11" t="n">
        <x:f aca="0">SUM(C257-1)</x:f>
        <x:v>-1</x:v>
      </x:c>
      <x:c r="N257" s="11" t="n">
        <x:f aca="0">SUM(B257-1)</x:f>
        <x:v>-1</x:v>
      </x:c>
      <x:c r="O257" s="11" t="n">
        <x:f aca="0">SUM(F257*1)</x:f>
        <x:v>0</x:v>
      </x:c>
      <x:c r="P257" s="11"/>
      <x:c r="Q257" s="11" t="str">
        <x:f aca="0">A257</x:f>
        <x:v>框中立</x:v>
      </x:c>
      <x:c r="R257" s="1" t="n">
        <x:f aca="0">SUM(B257*2+C257*2)*F257</x:f>
        <x:v>0</x:v>
      </x:c>
      <x:c r="T257"/>
    </x:row>
    <x:row r="258" ht="22.200000762939453" hidden="0">
      <x:c r="A258" s="10" t="s">
        <x:v>25</x:v>
      </x:c>
      <x:c r="B258" s="10"/>
      <x:c r="C258" s="10"/>
      <x:c r="D258" s="10" t="n">
        <x:v>18</x:v>
      </x:c>
      <x:c r="E258" s="10"/>
      <x:c r="F258" s="10"/>
      <x:c r="G258" s="10"/>
      <x:c r="H258" s="10" t="n">
        <x:v>69</x:v>
      </x:c>
      <x:c r="I258" s="11" t="n">
        <x:f aca="0">ROUND((IF((B258*C258)/90000&lt;1,1))+IF((B258*C258)/90000&gt;=1,(B258*C258)/90000),1.1)</x:f>
        <x:v>1</x:v>
      </x:c>
      <x:c r="J258" s="11" t="n">
        <x:f aca="0">SUM(F258*I258)</x:f>
        <x:v>0</x:v>
      </x:c>
      <x:c r="K258" s="11" t="n">
        <x:f aca="0">SUM(H258*J258)</x:f>
        <x:v>0</x:v>
      </x:c>
      <x:c r="L258" s="11"/>
      <x:c r="M258" s="11" t="n">
        <x:f aca="0">SUM(C258)</x:f>
        <x:v>0</x:v>
      </x:c>
      <x:c r="N258" s="11" t="n">
        <x:f aca="0">SUM(B258-1)</x:f>
        <x:v>-1</x:v>
      </x:c>
      <x:c r="O258" s="11" t="n">
        <x:f aca="0">SUM(F258*1)</x:f>
        <x:v>0</x:v>
      </x:c>
      <x:c r="P258" s="11"/>
      <x:c r="Q258" s="11" t="str">
        <x:f aca="0">A258</x:f>
        <x:v>橫木</x:v>
      </x:c>
      <x:c r="R258" s="1" t="n">
        <x:f aca="0">SUM(C258*2)*F258</x:f>
        <x:v>0</x:v>
      </x:c>
      <x:c r="T258"/>
    </x:row>
    <x:row r="259" ht="22.200000762939453" hidden="0">
      <x:c r="A259" s="10" t="s">
        <x:v>26</x:v>
      </x:c>
      <x:c r="B259" s="10"/>
      <x:c r="C259" s="10"/>
      <x:c r="D259" s="10" t="n">
        <x:v>18</x:v>
      </x:c>
      <x:c r="E259" s="10"/>
      <x:c r="F259" s="10"/>
      <x:c r="G259" s="10"/>
      <x:c r="H259" s="10" t="n">
        <x:v>69</x:v>
      </x:c>
      <x:c r="I259" s="11" t="n">
        <x:f aca="0">ROUND((IF((B259*C259)/90000&lt;1,1))+IF((B259*C259)/90000&gt;=1,(B259*C259)/90000),1.1)</x:f>
        <x:v>1</x:v>
      </x:c>
      <x:c r="J259" s="11" t="n">
        <x:f aca="0">SUM(F259*I259)</x:f>
        <x:v>0</x:v>
      </x:c>
      <x:c r="K259" s="11" t="n">
        <x:f aca="0">SUM(H259*J259)</x:f>
        <x:v>0</x:v>
      </x:c>
      <x:c r="L259" s="11"/>
      <x:c r="M259" s="11" t="n">
        <x:f aca="0">SUM(C259)</x:f>
        <x:v>0</x:v>
      </x:c>
      <x:c r="N259" s="11" t="n">
        <x:f aca="0">SUM(B259-1)</x:f>
        <x:v>-1</x:v>
      </x:c>
      <x:c r="O259" s="11" t="n">
        <x:f aca="0">SUM(F259*1)</x:f>
        <x:v>0</x:v>
      </x:c>
      <x:c r="P259" s="11"/>
      <x:c r="Q259" s="11" t="str">
        <x:f aca="0">A259</x:f>
        <x:v>前抽牆</x:v>
      </x:c>
      <x:c r="R259" s="1" t="n">
        <x:f aca="0">SUM(C259*2)*F259</x:f>
        <x:v>0</x:v>
      </x:c>
      <x:c r="T259"/>
    </x:row>
    <x:row r="260" ht="22.200000762939453" hidden="0">
      <x:c r="A260" s="10" t="s">
        <x:v>26</x:v>
      </x:c>
      <x:c r="B260" s="10"/>
      <x:c r="C260" s="10"/>
      <x:c r="D260" s="10" t="n">
        <x:v>18</x:v>
      </x:c>
      <x:c r="E260" s="10"/>
      <x:c r="F260" s="10"/>
      <x:c r="G260" s="10"/>
      <x:c r="H260" s="10" t="n">
        <x:v>69</x:v>
      </x:c>
      <x:c r="I260" s="11" t="n">
        <x:f aca="0">ROUND((IF((B260*C260)/90000&lt;1,1))+IF((B260*C260)/90000&gt;=1,(B260*C260)/90000),1.1)</x:f>
        <x:v>1</x:v>
      </x:c>
      <x:c r="J260" s="11" t="n">
        <x:f aca="0">SUM(F260*I260)</x:f>
        <x:v>0</x:v>
      </x:c>
      <x:c r="K260" s="11" t="n">
        <x:f aca="0">SUM(H260*J260)</x:f>
        <x:v>0</x:v>
      </x:c>
      <x:c r="L260" s="11"/>
      <x:c r="M260" s="11" t="n">
        <x:f aca="0">SUM(C260)</x:f>
        <x:v>0</x:v>
      </x:c>
      <x:c r="N260" s="11" t="n">
        <x:f aca="0">SUM(B260-1)</x:f>
        <x:v>-1</x:v>
      </x:c>
      <x:c r="O260" s="11" t="n">
        <x:f aca="0">SUM(F260*1)</x:f>
        <x:v>0</x:v>
      </x:c>
      <x:c r="P260" s="11"/>
      <x:c r="Q260" s="11" t="str">
        <x:f aca="0">A260</x:f>
        <x:v>前抽牆</x:v>
      </x:c>
      <x:c r="R260" s="1" t="n">
        <x:f aca="0">SUM(C260*2)*F260</x:f>
        <x:v>0</x:v>
      </x:c>
      <x:c r="T260"/>
    </x:row>
    <x:row r="261" ht="22.200000762939453" hidden="0">
      <x:c r="A261" s="10" t="s">
        <x:v>27</x:v>
      </x:c>
      <x:c r="B261" s="10"/>
      <x:c r="C261" s="10"/>
      <x:c r="D261" s="10" t="n">
        <x:v>18</x:v>
      </x:c>
      <x:c r="E261" s="10"/>
      <x:c r="F261" s="10"/>
      <x:c r="G261" s="10"/>
      <x:c r="H261" s="10" t="n">
        <x:v>69</x:v>
      </x:c>
      <x:c r="I261" s="11" t="n">
        <x:f aca="0">ROUND((IF((B261*C261)/90000&lt;1,1))+IF((B261*C261)/90000&gt;=1,(B261*C261)/90000),1.1)</x:f>
        <x:v>1</x:v>
      </x:c>
      <x:c r="J261" s="11" t="n">
        <x:f aca="0">SUM(F261*I261)</x:f>
        <x:v>0</x:v>
      </x:c>
      <x:c r="K261" s="11" t="n">
        <x:f aca="0">SUM(H261*J261)</x:f>
        <x:v>0</x:v>
      </x:c>
      <x:c r="L261" s="11"/>
      <x:c r="M261" s="11" t="n">
        <x:f aca="0">SUM(C261)</x:f>
        <x:v>0</x:v>
      </x:c>
      <x:c r="N261" s="11" t="n">
        <x:f aca="0">SUM(B261-1)</x:f>
        <x:v>-1</x:v>
      </x:c>
      <x:c r="O261" s="11" t="n">
        <x:f aca="0">SUM(F261*1)</x:f>
        <x:v>0</x:v>
      </x:c>
      <x:c r="P261" s="11"/>
      <x:c r="Q261" s="11" t="str">
        <x:f aca="0">A261</x:f>
        <x:v>邊抽牆</x:v>
      </x:c>
      <x:c r="R261" s="1" t="n">
        <x:f aca="0">SUM(C261*2)*F261</x:f>
        <x:v>0</x:v>
      </x:c>
      <x:c r="T261"/>
    </x:row>
    <x:row r="262" ht="22.200000762939453" hidden="0">
      <x:c r="A262" s="10" t="s">
        <x:v>27</x:v>
      </x:c>
      <x:c r="B262" s="10"/>
      <x:c r="C262" s="10"/>
      <x:c r="D262" s="10" t="n">
        <x:v>18</x:v>
      </x:c>
      <x:c r="E262" s="10"/>
      <x:c r="F262" s="10"/>
      <x:c r="G262" s="10"/>
      <x:c r="H262" s="10" t="n">
        <x:v>69</x:v>
      </x:c>
      <x:c r="I262" s="11" t="n">
        <x:f aca="0">ROUND((IF((B262*C262)/90000&lt;1,1))+IF((B262*C262)/90000&gt;=1,(B262*C262)/90000),1.1)</x:f>
        <x:v>1</x:v>
      </x:c>
      <x:c r="J262" s="11" t="n">
        <x:f aca="0">SUM(F262*I262)</x:f>
        <x:v>0</x:v>
      </x:c>
      <x:c r="K262" s="11" t="n">
        <x:f aca="0">SUM(H262*J262)</x:f>
        <x:v>0</x:v>
      </x:c>
      <x:c r="L262" s="11"/>
      <x:c r="M262" s="11" t="n">
        <x:f aca="0">SUM(C262)</x:f>
        <x:v>0</x:v>
      </x:c>
      <x:c r="N262" s="11" t="n">
        <x:f aca="0">SUM(B262-1)</x:f>
        <x:v>-1</x:v>
      </x:c>
      <x:c r="O262" s="11" t="n">
        <x:f aca="0">SUM(F262*1)</x:f>
        <x:v>0</x:v>
      </x:c>
      <x:c r="P262" s="11"/>
      <x:c r="Q262" s="11" t="str">
        <x:f aca="0">A262</x:f>
        <x:v>邊抽牆</x:v>
      </x:c>
      <x:c r="R262" s="1" t="n">
        <x:f aca="0">SUM(C262*2)*F262</x:f>
        <x:v>0</x:v>
      </x:c>
      <x:c r="T262"/>
    </x:row>
    <x:row r="263" ht="22.200000762939453" hidden="0">
      <x:c r="A263" s="10" t="s">
        <x:v>28</x:v>
      </x:c>
      <x:c r="B263" s="10"/>
      <x:c r="C263" s="10"/>
      <x:c r="D263" s="10" t="n">
        <x:v>8</x:v>
      </x:c>
      <x:c r="E263" s="10"/>
      <x:c r="F263" s="10"/>
      <x:c r="G263" s="10"/>
      <x:c r="H263" s="10" t="n">
        <x:v>50</x:v>
      </x:c>
      <x:c r="I263" s="11" t="n">
        <x:f aca="0">ROUND((IF((B263*C263)/90000&lt;1,1))+IF((B263*C263)/90000&gt;=1,(B263*C263)/90000),1.1)</x:f>
        <x:v>1</x:v>
      </x:c>
      <x:c r="J263" s="11" t="n">
        <x:f aca="0">SUM(F263*I263)</x:f>
        <x:v>0</x:v>
      </x:c>
      <x:c r="K263" s="11" t="n">
        <x:f aca="0">SUM(H263*J263)</x:f>
        <x:v>0</x:v>
      </x:c>
      <x:c r="L263" s="11"/>
      <x:c r="M263" s="11" t="n">
        <x:f aca="0">SUM(C263)</x:f>
        <x:v>0</x:v>
      </x:c>
      <x:c r="N263" s="11" t="n">
        <x:f aca="0">SUM(B263)</x:f>
        <x:v>0</x:v>
      </x:c>
      <x:c r="O263" s="11" t="n">
        <x:f aca="0">SUM(F263*1)</x:f>
        <x:v>0</x:v>
      </x:c>
      <x:c r="P263" s="11"/>
      <x:c r="Q263" s="11" t="str">
        <x:f aca="0">A263</x:f>
        <x:v>抽底板</x:v>
      </x:c>
      <x:c r="T263"/>
    </x:row>
    <x:row r="264" ht="22.200000762939453" hidden="0">
      <x:c r="A264" s="10" t="s">
        <x:v>28</x:v>
      </x:c>
      <x:c r="B264" s="10"/>
      <x:c r="C264" s="10"/>
      <x:c r="D264" s="10" t="n">
        <x:v>8</x:v>
      </x:c>
      <x:c r="E264" s="10"/>
      <x:c r="F264" s="10"/>
      <x:c r="G264" s="10"/>
      <x:c r="H264" s="10" t="n">
        <x:v>50</x:v>
      </x:c>
      <x:c r="I264" s="11" t="n">
        <x:f aca="0">ROUND((IF((B264*C264)/90000&lt;1,1))+IF((B264*C264)/90000&gt;=1,(B264*C264)/90000),1.1)</x:f>
        <x:v>1</x:v>
      </x:c>
      <x:c r="J264" s="11" t="n">
        <x:f aca="0">SUM(F264*I264)</x:f>
        <x:v>0</x:v>
      </x:c>
      <x:c r="K264" s="11" t="n">
        <x:f aca="0">SUM(H264*J264)</x:f>
        <x:v>0</x:v>
      </x:c>
      <x:c r="L264" s="11"/>
      <x:c r="M264" s="11" t="n">
        <x:f aca="0">SUM(C264)</x:f>
        <x:v>0</x:v>
      </x:c>
      <x:c r="N264" s="11" t="n">
        <x:f aca="0">SUM(B264)</x:f>
        <x:v>0</x:v>
      </x:c>
      <x:c r="O264" s="11" t="n">
        <x:f aca="0">SUM(F264*1)</x:f>
        <x:v>0</x:v>
      </x:c>
      <x:c r="P264" s="11"/>
      <x:c r="Q264" s="11" t="str">
        <x:f aca="0">A264</x:f>
        <x:v>抽底板</x:v>
      </x:c>
      <x:c r="T264"/>
    </x:row>
    <x:row r="265" ht="22.200000762939453" hidden="0">
      <x:c r="A265" s="12" t="s">
        <x:v>64</x:v>
      </x:c>
      <x:c r="B265" s="10"/>
      <x:c r="C265" s="10"/>
      <x:c r="D265" s="10" t="n">
        <x:v>18</x:v>
      </x:c>
      <x:c r="E265" s="10"/>
      <x:c r="F265" s="10"/>
      <x:c r="G265" s="10"/>
      <x:c r="H265" s="10" t="n">
        <x:v>84</x:v>
      </x:c>
      <x:c r="I265" s="11" t="n">
        <x:f aca="0">ROUND((IF((B265*C265)/90000&lt;1,1))+IF((B265*C265)/90000&gt;=1,(B265*C265)/90000),1.1)</x:f>
        <x:v>1</x:v>
      </x:c>
      <x:c r="J265" s="11" t="n">
        <x:f aca="0">SUM(F265*I265)</x:f>
        <x:v>0</x:v>
      </x:c>
      <x:c r="K265" s="11" t="n">
        <x:f aca="0">SUM(H265*J265)</x:f>
        <x:v>0</x:v>
      </x:c>
      <x:c r="L265" s="11"/>
      <x:c r="M265" s="11" t="n">
        <x:f aca="0">SUM(C265-2)</x:f>
        <x:v>-2</x:v>
      </x:c>
      <x:c r="N265" s="11" t="n">
        <x:f aca="0">SUM(B265-2)</x:f>
        <x:v>-2</x:v>
      </x:c>
      <x:c r="O265" s="11" t="n">
        <x:f aca="0">SUM(F265*1)</x:f>
        <x:v>0</x:v>
      </x:c>
      <x:c r="P265" s="11"/>
      <x:c r="Q265" s="11" t="str">
        <x:f aca="0">A265</x:f>
        <x:v>4E門板</x:v>
      </x:c>
      <x:c r="S265" s="1" t="n">
        <x:f aca="0">SUM(B265*2+C265*2)*F265</x:f>
        <x:v>0</x:v>
      </x:c>
      <x:c r="T265"/>
    </x:row>
    <x:row r="266" ht="22.200000762939453" hidden="0">
      <x:c r="A266" s="12" t="s">
        <x:v>64</x:v>
      </x:c>
      <x:c r="B266" s="10"/>
      <x:c r="C266" s="10"/>
      <x:c r="D266" s="10" t="n">
        <x:v>18</x:v>
      </x:c>
      <x:c r="E266" s="10"/>
      <x:c r="F266" s="10"/>
      <x:c r="G266" s="10"/>
      <x:c r="H266" s="10" t="n">
        <x:v>84</x:v>
      </x:c>
      <x:c r="I266" s="11" t="n">
        <x:f aca="0">ROUND((IF((B266*C266)/90000&lt;1,1))+IF((B266*C266)/90000&gt;=1,(B266*C266)/90000),1.1)</x:f>
        <x:v>1</x:v>
      </x:c>
      <x:c r="J266" s="11" t="n">
        <x:f aca="0">SUM(F266*I266)</x:f>
        <x:v>0</x:v>
      </x:c>
      <x:c r="K266" s="11" t="n">
        <x:f aca="0">SUM(H266*J266)</x:f>
        <x:v>0</x:v>
      </x:c>
      <x:c r="L266" s="11"/>
      <x:c r="M266" s="11" t="n">
        <x:f aca="0">SUM(C266-2)</x:f>
        <x:v>-2</x:v>
      </x:c>
      <x:c r="N266" s="11" t="n">
        <x:f aca="0">SUM(B266-2)</x:f>
        <x:v>-2</x:v>
      </x:c>
      <x:c r="O266" s="11" t="n">
        <x:f aca="0">SUM(F266*1)</x:f>
        <x:v>0</x:v>
      </x:c>
      <x:c r="P266" s="11"/>
      <x:c r="Q266" s="11" t="str">
        <x:f aca="0">A266</x:f>
        <x:v>4E門板</x:v>
      </x:c>
      <x:c r="S266" s="1" t="n">
        <x:f aca="0">SUM(B266*2+C266*2)*F266</x:f>
        <x:v>0</x:v>
      </x:c>
      <x:c r="T266"/>
    </x:row>
    <x:row r="267" ht="22.200000762939453" hidden="0">
      <x:c r="A267" s="12" t="s">
        <x:v>64</x:v>
      </x:c>
      <x:c r="B267" s="10"/>
      <x:c r="C267" s="10"/>
      <x:c r="D267" s="10" t="n">
        <x:v>18</x:v>
      </x:c>
      <x:c r="E267" s="10"/>
      <x:c r="F267" s="10"/>
      <x:c r="G267" s="10"/>
      <x:c r="H267" s="10" t="n">
        <x:v>84</x:v>
      </x:c>
      <x:c r="I267" s="11" t="n">
        <x:f aca="0">ROUND((IF((B267*C267)/90000&lt;1,1))+IF((B267*C267)/90000&gt;=1,(B267*C267)/90000),1.1)</x:f>
        <x:v>1</x:v>
      </x:c>
      <x:c r="J267" s="11" t="n">
        <x:f aca="0">SUM(F267*I267)</x:f>
        <x:v>0</x:v>
      </x:c>
      <x:c r="K267" s="11" t="n">
        <x:f aca="0">SUM(H267*J267)</x:f>
        <x:v>0</x:v>
      </x:c>
      <x:c r="L267" s="11"/>
      <x:c r="M267" s="11" t="n">
        <x:f aca="0">SUM(C267-2)</x:f>
        <x:v>-2</x:v>
      </x:c>
      <x:c r="N267" s="11" t="n">
        <x:f aca="0">SUM(B267-2)</x:f>
        <x:v>-2</x:v>
      </x:c>
      <x:c r="O267" s="11" t="n">
        <x:f aca="0">SUM(F267*1)</x:f>
        <x:v>0</x:v>
      </x:c>
      <x:c r="P267" s="11"/>
      <x:c r="Q267" s="11" t="str">
        <x:f aca="0">A267</x:f>
        <x:v>4E門板</x:v>
      </x:c>
      <x:c r="S267" s="1" t="n">
        <x:f aca="0">SUM(B267*2+C267*2)*F267</x:f>
        <x:v>0</x:v>
      </x:c>
      <x:c r="T267"/>
    </x:row>
    <x:row r="268" ht="22.200000762939453" hidden="0">
      <x:c r="A268" s="10" t="s">
        <x:v>30</x:v>
      </x:c>
      <x:c r="B268" s="10"/>
      <x:c r="C268" s="10"/>
      <x:c r="D268" s="10" t="n">
        <x:v>18</x:v>
      </x:c>
      <x:c r="E268" s="10"/>
      <x:c r="F268" s="10"/>
      <x:c r="G268" s="10"/>
      <x:c r="H268" s="10" t="n">
        <x:v>84</x:v>
      </x:c>
      <x:c r="I268" s="11" t="n">
        <x:f aca="0">ROUND((IF((B268*C268)/90000&lt;1,1))+IF((B268*C268)/90000&gt;=1,(B268*C268)/90000),1.1)</x:f>
        <x:v>1</x:v>
      </x:c>
      <x:c r="J268" s="11" t="n">
        <x:f aca="0">SUM(F268*I268)</x:f>
        <x:v>0</x:v>
      </x:c>
      <x:c r="K268" s="11" t="n">
        <x:f aca="0">SUM(H268*J268)</x:f>
        <x:v>0</x:v>
      </x:c>
      <x:c r="L268" s="11"/>
      <x:c r="M268" s="11" t="n">
        <x:f aca="0">SUM(C268-2)</x:f>
        <x:v>-2</x:v>
      </x:c>
      <x:c r="N268" s="11" t="n">
        <x:f aca="0">SUM(B268-2)</x:f>
        <x:v>-2</x:v>
      </x:c>
      <x:c r="O268" s="11" t="n">
        <x:f aca="0">SUM(F268*1)</x:f>
        <x:v>0</x:v>
      </x:c>
      <x:c r="P268" s="11"/>
      <x:c r="Q268" s="11" t="str">
        <x:f aca="0">A268</x:f>
        <x:v>假門板</x:v>
      </x:c>
      <x:c r="S268" s="1" t="n">
        <x:f aca="0">SUM(B268*2+C268*2)*F268</x:f>
        <x:v>0</x:v>
      </x:c>
      <x:c r="T268"/>
    </x:row>
    <x:row r="269" ht="22.200000762939453" hidden="0">
      <x:c r="A269" s="10" t="s">
        <x:v>31</x:v>
      </x:c>
      <x:c r="B269" s="10"/>
      <x:c r="C269" s="10"/>
      <x:c r="D269" s="10" t="n">
        <x:v>18</x:v>
      </x:c>
      <x:c r="E269" s="10"/>
      <x:c r="F269" s="10"/>
      <x:c r="G269" s="10"/>
      <x:c r="H269" s="10" t="n">
        <x:v>84</x:v>
      </x:c>
      <x:c r="I269" s="11" t="n">
        <x:f aca="0">ROUND((IF((B269*C269)/90000&lt;1,1))+IF((B269*C269)/90000&gt;=1,(B269*C269)/90000),1.1)</x:f>
        <x:v>1</x:v>
      </x:c>
      <x:c r="J269" s="11" t="n">
        <x:f aca="0">SUM(F269*I269)</x:f>
        <x:v>0</x:v>
      </x:c>
      <x:c r="K269" s="11" t="n">
        <x:f aca="0">SUM(H269*J269)</x:f>
        <x:v>0</x:v>
      </x:c>
      <x:c r="L269" s="11"/>
      <x:c r="M269" s="11" t="n">
        <x:f aca="0">SUM(C269-2)</x:f>
        <x:v>-2</x:v>
      </x:c>
      <x:c r="N269" s="11" t="n">
        <x:f aca="0">SUM(B269-2)</x:f>
        <x:v>-2</x:v>
      </x:c>
      <x:c r="O269" s="11" t="n">
        <x:f aca="0">SUM(F269*1)</x:f>
        <x:v>0</x:v>
      </x:c>
      <x:c r="P269" s="11"/>
      <x:c r="Q269" s="11" t="str">
        <x:f aca="0">A269</x:f>
        <x:v>屜頭</x:v>
      </x:c>
      <x:c r="S269" s="1" t="n">
        <x:f aca="0">SUM(B269*2+C269*2)*F269</x:f>
        <x:v>0</x:v>
      </x:c>
      <x:c r="T269"/>
    </x:row>
    <x:row r="270" ht="22.200000762939453" hidden="0">
      <x:c r="A270" s="10" t="s">
        <x:v>32</x:v>
      </x:c>
      <x:c r="B270" s="10"/>
      <x:c r="C270" s="10"/>
      <x:c r="D270" s="10" t="n">
        <x:v>18</x:v>
      </x:c>
      <x:c r="E270" s="10"/>
      <x:c r="F270" s="10"/>
      <x:c r="G270" s="10"/>
      <x:c r="H270" s="10" t="n">
        <x:v>74</x:v>
      </x:c>
      <x:c r="I270" s="11" t="n">
        <x:f aca="0">ROUND((IF((B270*C270)/90000&lt;1,1))+IF((B270*C270)/90000&gt;=1,(B270*C270)/90000),1.1)</x:f>
        <x:v>1</x:v>
      </x:c>
      <x:c r="J270" s="11" t="n">
        <x:f aca="0">SUM(F270*I270)</x:f>
        <x:v>0</x:v>
      </x:c>
      <x:c r="K270" s="11" t="n">
        <x:f aca="0">SUM(H270*J270)</x:f>
        <x:v>0</x:v>
      </x:c>
      <x:c r="L270" s="11"/>
      <x:c r="M270" s="11" t="n">
        <x:f aca="0">SUM(C270-1)</x:f>
        <x:v>-1</x:v>
      </x:c>
      <x:c r="N270" s="11" t="n">
        <x:f aca="0">SUM(B270)</x:f>
        <x:v>0</x:v>
      </x:c>
      <x:c r="O270" s="11" t="n">
        <x:f aca="0">SUM(F270*1)</x:f>
        <x:v>0</x:v>
      </x:c>
      <x:c r="P270" s="11"/>
      <x:c r="Q270" s="11" t="str">
        <x:f aca="0">A270</x:f>
        <x:v>推門</x:v>
      </x:c>
      <x:c r="R270" s="1" t="n">
        <x:f aca="0">SUM(B270*2+C270*2)*F270</x:f>
        <x:v>0</x:v>
      </x:c>
      <x:c r="T270"/>
    </x:row>
    <x:row r="271" ht="22.200000762939453" hidden="0">
      <x:c r="A271" s="10" t="s">
        <x:v>33</x:v>
      </x:c>
      <x:c r="B271" s="10"/>
      <x:c r="C271" s="10"/>
      <x:c r="D271" s="10" t="n">
        <x:v>18</x:v>
      </x:c>
      <x:c r="E271" s="10"/>
      <x:c r="F271" s="10"/>
      <x:c r="G271" s="10"/>
      <x:c r="H271" s="10" t="n">
        <x:v>74</x:v>
      </x:c>
      <x:c r="I271" s="11" t="n">
        <x:f aca="0">ROUND((IF((B271*C271)/90000&lt;1,1))+IF((B271*C271)/90000&gt;=1,(B271*C271)/90000),1.1)</x:f>
        <x:v>1</x:v>
      </x:c>
      <x:c r="J271" s="11" t="n">
        <x:f aca="0">SUM(F271*I271)</x:f>
        <x:v>0</x:v>
      </x:c>
      <x:c r="K271" s="11" t="n">
        <x:f aca="0">SUM(H271*J271)</x:f>
        <x:v>0</x:v>
      </x:c>
      <x:c r="L271" s="11"/>
      <x:c r="M271" s="11" t="n">
        <x:f aca="0">SUM(C271)</x:f>
        <x:v>0</x:v>
      </x:c>
      <x:c r="N271" s="11" t="n">
        <x:f aca="0">SUM(B271-1)</x:f>
        <x:v>-1</x:v>
      </x:c>
      <x:c r="O271" s="11" t="n">
        <x:f aca="0">SUM(F271*1)</x:f>
        <x:v>0</x:v>
      </x:c>
      <x:c r="P271" s="11"/>
      <x:c r="Q271" s="11" t="str">
        <x:f aca="0">A271</x:f>
        <x:v>側封板</x:v>
      </x:c>
      <x:c r="R271" s="1" t="n">
        <x:f aca="0">SUM(+C271*1)*F271</x:f>
        <x:v>0</x:v>
      </x:c>
      <x:c r="S271" s="1" t="n">
        <x:f aca="0">SUM(C271*1)*F271</x:f>
        <x:v>0</x:v>
      </x:c>
      <x:c r="T271"/>
    </x:row>
    <x:row r="272" ht="22.200000762939453" hidden="0">
      <x:c r="A272" s="10" t="s">
        <x:v>33</x:v>
      </x:c>
      <x:c r="B272" s="10"/>
      <x:c r="C272" s="10"/>
      <x:c r="D272" s="10" t="n">
        <x:v>18</x:v>
      </x:c>
      <x:c r="E272" s="10"/>
      <x:c r="F272" s="10"/>
      <x:c r="G272" s="10"/>
      <x:c r="H272" s="10" t="n">
        <x:v>74</x:v>
      </x:c>
      <x:c r="I272" s="11" t="n">
        <x:f aca="0">ROUND((IF((B272*C272)/90000&lt;1,1))+IF((B272*C272)/90000&gt;=1,(B272*C272)/90000),1.1)</x:f>
        <x:v>1</x:v>
      </x:c>
      <x:c r="J272" s="11" t="n">
        <x:f aca="0">SUM(F272*I272)</x:f>
        <x:v>0</x:v>
      </x:c>
      <x:c r="K272" s="11" t="n">
        <x:f aca="0">SUM(H272*J272)</x:f>
        <x:v>0</x:v>
      </x:c>
      <x:c r="L272" s="11"/>
      <x:c r="M272" s="11" t="n">
        <x:f aca="0">SUM(C272)</x:f>
        <x:v>0</x:v>
      </x:c>
      <x:c r="N272" s="11" t="n">
        <x:f aca="0">SUM(B272-1)</x:f>
        <x:v>-1</x:v>
      </x:c>
      <x:c r="O272" s="11" t="n">
        <x:f aca="0">SUM(F272*1)</x:f>
        <x:v>0</x:v>
      </x:c>
      <x:c r="P272" s="11"/>
      <x:c r="Q272" s="11" t="str">
        <x:f aca="0">A272</x:f>
        <x:v>側封板</x:v>
      </x:c>
      <x:c r="R272" s="1" t="n">
        <x:f aca="0">SUM(+C272*1)*F272</x:f>
        <x:v>0</x:v>
      </x:c>
      <x:c r="S272" s="1" t="n">
        <x:f aca="0">SUM(C272*1)*F272</x:f>
        <x:v>0</x:v>
      </x:c>
      <x:c r="T272"/>
    </x:row>
    <x:row r="273" ht="22.200000762939453" hidden="0">
      <x:c r="A273" s="10" t="s">
        <x:v>34</x:v>
      </x:c>
      <x:c r="B273" s="10"/>
      <x:c r="C273" s="10"/>
      <x:c r="D273" s="10" t="n">
        <x:v>18</x:v>
      </x:c>
      <x:c r="E273" s="10"/>
      <x:c r="F273" s="10"/>
      <x:c r="G273" s="10"/>
      <x:c r="H273" s="10" t="n">
        <x:v>74</x:v>
      </x:c>
      <x:c r="I273" s="11" t="n">
        <x:f aca="0">ROUND((IF((B273*C273)/90000&lt;1,1))+IF((B273*C273)/90000&gt;=1,(B273*C273)/90000),1.1)</x:f>
        <x:v>1</x:v>
      </x:c>
      <x:c r="J273" s="11" t="n">
        <x:f aca="0">SUM(F273*I273)</x:f>
        <x:v>0</x:v>
      </x:c>
      <x:c r="K273" s="11" t="n">
        <x:f aca="0">SUM(H273*J273)</x:f>
        <x:v>0</x:v>
      </x:c>
      <x:c r="L273" s="11"/>
      <x:c r="M273" s="11" t="n">
        <x:f aca="0">SUM(C273)</x:f>
        <x:v>0</x:v>
      </x:c>
      <x:c r="N273" s="11" t="n">
        <x:f aca="0">SUM(B273-1)</x:f>
        <x:v>-1</x:v>
      </x:c>
      <x:c r="O273" s="11" t="n">
        <x:f aca="0">SUM(F273*1)</x:f>
        <x:v>0</x:v>
      </x:c>
      <x:c r="P273" s="11"/>
      <x:c r="Q273" s="11" t="str">
        <x:f aca="0">A273</x:f>
        <x:v>軌道板</x:v>
      </x:c>
      <x:c r="R273" s="1" t="n">
        <x:f aca="0">SUM(+C273*1)*F273</x:f>
        <x:v>0</x:v>
      </x:c>
      <x:c r="S273" s="1" t="n">
        <x:f aca="0">SUM(C273*1)*F273</x:f>
        <x:v>0</x:v>
      </x:c>
      <x:c r="T273"/>
    </x:row>
    <x:row r="274" ht="22.200000762939453" hidden="0">
      <x:c r="A274" s="10" t="s">
        <x:v>34</x:v>
      </x:c>
      <x:c r="B274" s="10"/>
      <x:c r="C274" s="10"/>
      <x:c r="D274" s="10" t="n">
        <x:v>18</x:v>
      </x:c>
      <x:c r="E274" s="10"/>
      <x:c r="F274" s="10"/>
      <x:c r="G274" s="10"/>
      <x:c r="H274" s="10" t="n">
        <x:v>74</x:v>
      </x:c>
      <x:c r="I274" s="11" t="n">
        <x:f aca="0">ROUND((IF((B274*C274)/90000&lt;1,1))+IF((B274*C274)/90000&gt;=1,(B274*C274)/90000),1.1)</x:f>
        <x:v>1</x:v>
      </x:c>
      <x:c r="J274" s="11" t="n">
        <x:f aca="0">SUM(F274*I274)</x:f>
        <x:v>0</x:v>
      </x:c>
      <x:c r="K274" s="11" t="n">
        <x:f aca="0">SUM(H274*J274)</x:f>
        <x:v>0</x:v>
      </x:c>
      <x:c r="L274" s="11"/>
      <x:c r="M274" s="11" t="n">
        <x:f aca="0">SUM(C274)</x:f>
        <x:v>0</x:v>
      </x:c>
      <x:c r="N274" s="11" t="n">
        <x:f aca="0">SUM(B274-1)</x:f>
        <x:v>-1</x:v>
      </x:c>
      <x:c r="O274" s="11" t="n">
        <x:f aca="0">SUM(F274*1)</x:f>
        <x:v>0</x:v>
      </x:c>
      <x:c r="P274" s="11"/>
      <x:c r="Q274" s="11" t="str">
        <x:f aca="0">A274</x:f>
        <x:v>軌道板</x:v>
      </x:c>
      <x:c r="R274" s="1" t="n">
        <x:f aca="0">SUM(+C274*1)*F274</x:f>
        <x:v>0</x:v>
      </x:c>
      <x:c r="S274" s="1" t="n">
        <x:f aca="0">SUM(C274*1)*F274</x:f>
        <x:v>0</x:v>
      </x:c>
      <x:c r="T274"/>
    </x:row>
    <x:row r="275" ht="22.200000762939453" hidden="0">
      <x:c r="A275" s="10" t="s">
        <x:v>35</x:v>
      </x:c>
      <x:c r="B275" s="10"/>
      <x:c r="C275" s="10"/>
      <x:c r="D275" s="10" t="n">
        <x:v>18</x:v>
      </x:c>
      <x:c r="E275" s="10"/>
      <x:c r="F275" s="10"/>
      <x:c r="G275" s="10"/>
      <x:c r="H275" s="10" t="n">
        <x:v>69</x:v>
      </x:c>
      <x:c r="I275" s="11" t="n">
        <x:f aca="0">ROUND((IF((B275*C275)/90000&lt;1,1))+IF((B275*C275)/90000&gt;=1,(B275*C275)/90000),1.1)</x:f>
        <x:v>1</x:v>
      </x:c>
      <x:c r="J275" s="11" t="n">
        <x:f aca="0">SUM(F275*I275)</x:f>
        <x:v>0</x:v>
      </x:c>
      <x:c r="K275" s="11" t="n">
        <x:f aca="0">SUM(H275*J275)</x:f>
        <x:v>0</x:v>
      </x:c>
      <x:c r="L275" s="11"/>
      <x:c r="M275" s="11" t="n">
        <x:f aca="0">SUM(C275)</x:f>
        <x:v>0</x:v>
      </x:c>
      <x:c r="N275" s="11" t="n">
        <x:f aca="0">SUM(B275-1)</x:f>
        <x:v>-1</x:v>
      </x:c>
      <x:c r="O275" s="11" t="n">
        <x:f aca="0">SUM(F275*1)</x:f>
        <x:v>0</x:v>
      </x:c>
      <x:c r="P275" s="11"/>
      <x:c r="Q275" s="11" t="str">
        <x:f aca="0">A275</x:f>
        <x:v>擋板</x:v>
      </x:c>
      <x:c r="R275" s="1" t="n">
        <x:f aca="0">SUM(C275*2)*F275</x:f>
        <x:v>0</x:v>
      </x:c>
      <x:c r="T275"/>
    </x:row>
    <x:row r="276" ht="22.200000762939453" hidden="0">
      <x:c r="A276" s="10" t="s">
        <x:v>35</x:v>
      </x:c>
      <x:c r="B276" s="10"/>
      <x:c r="C276" s="10"/>
      <x:c r="D276" s="10" t="n">
        <x:v>18</x:v>
      </x:c>
      <x:c r="E276" s="10"/>
      <x:c r="F276" s="10"/>
      <x:c r="G276" s="10"/>
      <x:c r="H276" s="10" t="n">
        <x:v>69</x:v>
      </x:c>
      <x:c r="I276" s="11" t="n">
        <x:f aca="0">ROUND((IF((B276*C276)/90000&lt;1,1))+IF((B276*C276)/90000&gt;=1,(B276*C276)/90000),1.1)</x:f>
        <x:v>1</x:v>
      </x:c>
      <x:c r="J276" s="11" t="n">
        <x:f aca="0">SUM(F276*I276)</x:f>
        <x:v>0</x:v>
      </x:c>
      <x:c r="K276" s="11" t="n">
        <x:f aca="0">SUM(H276*J276)</x:f>
        <x:v>0</x:v>
      </x:c>
      <x:c r="L276" s="11"/>
      <x:c r="M276" s="11" t="n">
        <x:f aca="0">SUM(C276)</x:f>
        <x:v>0</x:v>
      </x:c>
      <x:c r="N276" s="11" t="n">
        <x:f aca="0">SUM(B276-1)</x:f>
        <x:v>-1</x:v>
      </x:c>
      <x:c r="O276" s="11" t="n">
        <x:f aca="0">SUM(F276*1)</x:f>
        <x:v>0</x:v>
      </x:c>
      <x:c r="P276" s="11"/>
      <x:c r="Q276" s="11" t="str">
        <x:f aca="0">A276</x:f>
        <x:v>擋板</x:v>
      </x:c>
      <x:c r="R276" s="1" t="n">
        <x:f aca="0">SUM(C276*2)*F276</x:f>
        <x:v>0</x:v>
      </x:c>
      <x:c r="T276"/>
    </x:row>
    <x:row r="277" ht="22.200000762939453" hidden="0">
      <x:c r="A277" s="10" t="s">
        <x:v>36</x:v>
      </x:c>
      <x:c r="B277" s="10"/>
      <x:c r="C277" s="10"/>
      <x:c r="D277" s="10" t="n">
        <x:v>8</x:v>
      </x:c>
      <x:c r="E277" s="10"/>
      <x:c r="F277" s="10"/>
      <x:c r="G277" s="10"/>
      <x:c r="H277" s="10" t="n">
        <x:v>69</x:v>
      </x:c>
      <x:c r="I277" s="11" t="n">
        <x:f aca="0">ROUND((IF((B277*C277)/90000&lt;1,1))+IF((B277*C277)/90000&gt;=1,(B277*C277)/90000),1.1)</x:f>
        <x:v>1</x:v>
      </x:c>
      <x:c r="J277" s="11" t="n">
        <x:f aca="0">SUM(F277*I277)</x:f>
        <x:v>0</x:v>
      </x:c>
      <x:c r="K277" s="11" t="n">
        <x:f aca="0">SUM(H277*J277)</x:f>
        <x:v>0</x:v>
      </x:c>
      <x:c r="L277" s="11"/>
      <x:c r="M277" s="11" t="n">
        <x:f aca="0">SUM(C277)</x:f>
        <x:v>0</x:v>
      </x:c>
      <x:c r="N277" s="11" t="n">
        <x:f aca="0">SUM(B277-1)</x:f>
        <x:v>-1</x:v>
      </x:c>
      <x:c r="O277" s="11" t="n">
        <x:f aca="0">SUM(F277*1)</x:f>
        <x:v>0</x:v>
      </x:c>
      <x:c r="P277" s="11"/>
      <x:c r="Q277" s="11" t="str">
        <x:f aca="0">A277</x:f>
        <x:v>襯板</x:v>
      </x:c>
      <x:c r="R277" s="1" t="n">
        <x:f aca="0">SUM(C277*2)*F277</x:f>
        <x:v>0</x:v>
      </x:c>
      <x:c r="T277"/>
    </x:row>
    <x:row r="278" ht="22.200000762939453" hidden="0">
      <x:c r="A278" s="10" t="s">
        <x:v>36</x:v>
      </x:c>
      <x:c r="B278" s="10"/>
      <x:c r="C278" s="10"/>
      <x:c r="D278" s="10" t="n">
        <x:v>8</x:v>
      </x:c>
      <x:c r="E278" s="10"/>
      <x:c r="F278" s="10"/>
      <x:c r="G278" s="10"/>
      <x:c r="H278" s="10" t="n">
        <x:v>69</x:v>
      </x:c>
      <x:c r="I278" s="11" t="n">
        <x:f aca="0">ROUND((IF((B278*C278)/90000&lt;1,1))+IF((B278*C278)/90000&gt;=1,(B278*C278)/90000),1.1)</x:f>
        <x:v>1</x:v>
      </x:c>
      <x:c r="J278" s="11" t="n">
        <x:f aca="0">SUM(F278*I278)</x:f>
        <x:v>0</x:v>
      </x:c>
      <x:c r="K278" s="11" t="n">
        <x:f aca="0">SUM(H278*J278)</x:f>
        <x:v>0</x:v>
      </x:c>
      <x:c r="L278" s="11"/>
      <x:c r="M278" s="11" t="n">
        <x:f aca="0">SUM(C278)</x:f>
        <x:v>0</x:v>
      </x:c>
      <x:c r="N278" s="11" t="n">
        <x:f aca="0">SUM(B278-1)</x:f>
        <x:v>-1</x:v>
      </x:c>
      <x:c r="O278" s="11" t="n">
        <x:f aca="0">SUM(F278*1)</x:f>
        <x:v>0</x:v>
      </x:c>
      <x:c r="P278" s="11"/>
      <x:c r="Q278" s="11" t="str">
        <x:f aca="0">A278</x:f>
        <x:v>襯板</x:v>
      </x:c>
      <x:c r="R278" s="1" t="n">
        <x:f aca="0">SUM(C278*2)*F278</x:f>
        <x:v>0</x:v>
      </x:c>
      <x:c r="T278"/>
    </x:row>
    <x:row r="279" ht="22.200000762939453" hidden="0">
      <x:c r="A279" s="10" t="s">
        <x:v>37</x:v>
      </x:c>
      <x:c r="B279" s="10"/>
      <x:c r="C279" s="10"/>
      <x:c r="D279" s="10" t="n">
        <x:v>8</x:v>
      </x:c>
      <x:c r="E279" s="10"/>
      <x:c r="F279" s="10"/>
      <x:c r="G279" s="10"/>
      <x:c r="H279" s="10" t="n">
        <x:v>50</x:v>
      </x:c>
      <x:c r="I279" s="11" t="n">
        <x:f aca="0">ROUND((IF((B279*C279)/90000&lt;1,1))+IF((B279*C279)/90000&gt;=1,(B279*C279)/90000),1.1)</x:f>
        <x:v>1</x:v>
      </x:c>
      <x:c r="J279" s="11" t="n">
        <x:f aca="0">SUM(F279*I279)</x:f>
        <x:v>0</x:v>
      </x:c>
      <x:c r="K279" s="11" t="n">
        <x:f aca="0">SUM(H279*J279)</x:f>
        <x:v>0</x:v>
      </x:c>
      <x:c r="L279" s="11"/>
      <x:c r="M279" s="11" t="n">
        <x:f aca="0">SUM(C279)</x:f>
        <x:v>0</x:v>
      </x:c>
      <x:c r="N279" s="11" t="n">
        <x:f aca="0">SUM(B279)</x:f>
        <x:v>0</x:v>
      </x:c>
      <x:c r="O279" s="11" t="n">
        <x:f aca="0">SUM(F279*1)</x:f>
        <x:v>0</x:v>
      </x:c>
      <x:c r="P279" s="11"/>
      <x:c r="Q279" s="11" t="str">
        <x:f aca="0">A279</x:f>
        <x:v>背板</x:v>
      </x:c>
      <x:c r="T279"/>
    </x:row>
    <x:row r="280" ht="22.200000762939453" hidden="0">
      <x:c r="A280" s="10" t="s">
        <x:v>37</x:v>
      </x:c>
      <x:c r="B280" s="10"/>
      <x:c r="C280" s="10"/>
      <x:c r="D280" s="10" t="n">
        <x:v>8</x:v>
      </x:c>
      <x:c r="E280" s="10"/>
      <x:c r="F280" s="10"/>
      <x:c r="G280" s="10"/>
      <x:c r="H280" s="10" t="n">
        <x:v>50</x:v>
      </x:c>
      <x:c r="I280" s="11" t="n">
        <x:f aca="0">ROUND((IF((B280*C280)/90000&lt;1,1))+IF((B280*C280)/90000&gt;=1,(B280*C280)/90000),1.1)</x:f>
        <x:v>1</x:v>
      </x:c>
      <x:c r="J280" s="11" t="n">
        <x:f aca="0">SUM(F280*I280)</x:f>
        <x:v>0</x:v>
      </x:c>
      <x:c r="K280" s="11" t="n">
        <x:f aca="0">SUM(H280*J280)</x:f>
        <x:v>0</x:v>
      </x:c>
      <x:c r="L280" s="11"/>
      <x:c r="M280" s="11" t="n">
        <x:f aca="0">SUM(C280)</x:f>
        <x:v>0</x:v>
      </x:c>
      <x:c r="N280" s="11" t="n">
        <x:f aca="0">SUM(B280)</x:f>
        <x:v>0</x:v>
      </x:c>
      <x:c r="O280" s="11" t="n">
        <x:f aca="0">SUM(F280*1)</x:f>
        <x:v>0</x:v>
      </x:c>
      <x:c r="P280" s="11"/>
      <x:c r="Q280" s="11" t="str">
        <x:f aca="0">A280</x:f>
        <x:v>背板</x:v>
      </x:c>
      <x:c r="T280"/>
    </x:row>
    <x:row r="281" ht="22.200000762939453" hidden="0">
      <x:c r="A281" s="10" t="s">
        <x:v>37</x:v>
      </x:c>
      <x:c r="B281" s="10"/>
      <x:c r="C281" s="10"/>
      <x:c r="D281" s="10" t="n">
        <x:v>8</x:v>
      </x:c>
      <x:c r="E281" s="10"/>
      <x:c r="F281" s="10"/>
      <x:c r="G281" s="10"/>
      <x:c r="H281" s="10" t="n">
        <x:v>50</x:v>
      </x:c>
      <x:c r="I281" s="11" t="n">
        <x:f aca="0">ROUND((IF((B281*C281)/90000&lt;1,1))+IF((B281*C281)/90000&gt;=1,(B281*C281)/90000),1.1)</x:f>
        <x:v>1</x:v>
      </x:c>
      <x:c r="J281" s="11" t="n">
        <x:f aca="0">SUM(F281*I281)</x:f>
        <x:v>0</x:v>
      </x:c>
      <x:c r="K281" s="11" t="n">
        <x:f aca="0">SUM(H281*J281)</x:f>
        <x:v>0</x:v>
      </x:c>
      <x:c r="L281" s="11"/>
      <x:c r="M281" s="11" t="n">
        <x:f aca="0">SUM(C281)</x:f>
        <x:v>0</x:v>
      </x:c>
      <x:c r="N281" s="11" t="n">
        <x:f aca="0">SUM(B281)</x:f>
        <x:v>0</x:v>
      </x:c>
      <x:c r="O281" s="11" t="n">
        <x:f aca="0">SUM(F281*1)</x:f>
        <x:v>0</x:v>
      </x:c>
      <x:c r="P281" s="11"/>
      <x:c r="Q281" s="11" t="str">
        <x:f aca="0">A281</x:f>
        <x:v>背板</x:v>
      </x:c>
      <x:c r="T281"/>
    </x:row>
    <x:row r="282" ht="22.200000762939453" hidden="0">
      <x:c r="A282" s="10" t="s">
        <x:v>37</x:v>
      </x:c>
      <x:c r="B282" s="10"/>
      <x:c r="C282" s="10"/>
      <x:c r="D282" s="10" t="n">
        <x:v>8</x:v>
      </x:c>
      <x:c r="E282" s="10"/>
      <x:c r="F282" s="10"/>
      <x:c r="G282" s="10"/>
      <x:c r="H282" s="10" t="n">
        <x:v>50</x:v>
      </x:c>
      <x:c r="I282" s="11" t="n">
        <x:f aca="0">ROUND((IF((B282*C282)/90000&lt;1,1))+IF((B282*C282)/90000&gt;=1,(B282*C282)/90000),1.1)</x:f>
        <x:v>1</x:v>
      </x:c>
      <x:c r="J282" s="11" t="n">
        <x:f aca="0">SUM(F282*I282)</x:f>
        <x:v>0</x:v>
      </x:c>
      <x:c r="K282" s="11" t="n">
        <x:f aca="0">SUM(H282*J282)</x:f>
        <x:v>0</x:v>
      </x:c>
      <x:c r="L282" s="11"/>
      <x:c r="M282" s="11" t="n">
        <x:f aca="0">SUM(C282)</x:f>
        <x:v>0</x:v>
      </x:c>
      <x:c r="N282" s="11" t="n">
        <x:f aca="0">SUM(B282)</x:f>
        <x:v>0</x:v>
      </x:c>
      <x:c r="O282" s="11" t="n">
        <x:f aca="0">SUM(F282*1)</x:f>
        <x:v>0</x:v>
      </x:c>
      <x:c r="P282" s="11"/>
      <x:c r="Q282" s="11" t="str">
        <x:f aca="0">A282</x:f>
        <x:v>背板</x:v>
      </x:c>
      <x:c r="T282"/>
    </x:row>
    <x:row r="283" ht="22.200000762939453" hidden="0">
      <x:c r="A283" s="10" t="s">
        <x:v>37</x:v>
      </x:c>
      <x:c r="B283" s="10"/>
      <x:c r="C283" s="10"/>
      <x:c r="D283" s="10" t="n">
        <x:v>8</x:v>
      </x:c>
      <x:c r="E283" s="10"/>
      <x:c r="F283" s="10"/>
      <x:c r="G283" s="10"/>
      <x:c r="H283" s="10" t="n">
        <x:v>50</x:v>
      </x:c>
      <x:c r="I283" s="11" t="n">
        <x:f aca="0">ROUND((IF((B283*C283)/90000&lt;1,1))+IF((B283*C283)/90000&gt;=1,(B283*C283)/90000),1.1)</x:f>
        <x:v>1</x:v>
      </x:c>
      <x:c r="J283" s="11" t="n">
        <x:f aca="0">SUM(F283*I283)</x:f>
        <x:v>0</x:v>
      </x:c>
      <x:c r="K283" s="11" t="n">
        <x:f aca="0">SUM(H283*J283)</x:f>
        <x:v>0</x:v>
      </x:c>
      <x:c r="L283" s="11"/>
      <x:c r="M283" s="11" t="n">
        <x:f aca="0">SUM(C283)</x:f>
        <x:v>0</x:v>
      </x:c>
      <x:c r="N283" s="11" t="n">
        <x:f aca="0">SUM(B283)</x:f>
        <x:v>0</x:v>
      </x:c>
      <x:c r="O283" s="11" t="n">
        <x:f aca="0">SUM(F283*1)</x:f>
        <x:v>0</x:v>
      </x:c>
      <x:c r="P283" s="11"/>
      <x:c r="Q283" s="11" t="str">
        <x:f aca="0">A283</x:f>
        <x:v>背板</x:v>
      </x:c>
      <x:c r="T283"/>
    </x:row>
    <x:row r="284" ht="22.200000762939453" hidden="0">
      <x:c r="A284" s="10" t="s">
        <x:v>38</x:v>
      </x:c>
      <x:c r="B284" s="10"/>
      <x:c r="C284" s="10"/>
      <x:c r="D284" s="10" t="n">
        <x:v>18</x:v>
      </x:c>
      <x:c r="E284" s="10"/>
      <x:c r="F284" s="10"/>
      <x:c r="G284" s="10"/>
      <x:c r="H284" s="10" t="n">
        <x:v>50</x:v>
      </x:c>
      <x:c r="I284" s="11" t="n">
        <x:f aca="0">ROUND((IF((B284*C284)/90000&lt;1,1))+IF((B284*C284)/90000&gt;=1,(B284*C284)/90000),1.1)</x:f>
        <x:v>1</x:v>
      </x:c>
      <x:c r="J284" s="11" t="n">
        <x:f aca="0">SUM(F284*I284)</x:f>
        <x:v>0</x:v>
      </x:c>
      <x:c r="K284" s="11" t="n">
        <x:f aca="0">SUM(H284*J284)</x:f>
        <x:v>0</x:v>
      </x:c>
      <x:c r="L284" s="11"/>
      <x:c r="M284" s="11" t="n">
        <x:f aca="0">SUM(C284)</x:f>
        <x:v>0</x:v>
      </x:c>
      <x:c r="N284" s="11" t="n">
        <x:f aca="0">SUM(B284)</x:f>
        <x:v>0</x:v>
      </x:c>
      <x:c r="O284" s="11" t="n">
        <x:f aca="0">SUM(F284*1)</x:f>
        <x:v>0</x:v>
      </x:c>
      <x:c r="P284" s="11"/>
      <x:c r="Q284" s="11" t="str">
        <x:f aca="0">A284</x:f>
        <x:v>踢腳板</x:v>
      </x:c>
      <x:c r="R284" s="1" t="n">
        <x:f aca="0">SUM(C284*1)*F284</x:f>
        <x:v>0</x:v>
      </x:c>
      <x:c r="T284"/>
    </x:row>
    <x:row r="285" ht="22.200000762939453" hidden="0">
      <x:c r="A285" s="10" t="s">
        <x:v>39</x:v>
      </x:c>
      <x:c r="B285" s="10"/>
      <x:c r="C285" s="10"/>
      <x:c r="D285" s="10" t="n">
        <x:v>25</x:v>
      </x:c>
      <x:c r="E285" s="10"/>
      <x:c r="F285" s="10"/>
      <x:c r="G285" s="10"/>
      <x:c r="H285" s="10" t="n">
        <x:v>126</x:v>
      </x:c>
      <x:c r="I285" s="11" t="n">
        <x:f aca="0">ROUND((IF((B285*C285)/90000&lt;1,1))+IF((B285*C285)/90000&gt;=1,(B285*C285)/90000),1.1)</x:f>
        <x:v>1</x:v>
      </x:c>
      <x:c r="J285" s="11" t="n">
        <x:f aca="0">SUM(F285*I285)</x:f>
        <x:v>0</x:v>
      </x:c>
      <x:c r="K285" s="11" t="n">
        <x:f aca="0">SUM(H285*J285)</x:f>
        <x:v>0</x:v>
      </x:c>
      <x:c r="L285" s="11"/>
      <x:c r="M285" s="11" t="n">
        <x:f aca="0">SUM(C285)</x:f>
        <x:v>0</x:v>
      </x:c>
      <x:c r="N285" s="11" t="n">
        <x:f aca="0">SUM(B285-1)</x:f>
        <x:v>-1</x:v>
      </x:c>
      <x:c r="O285" s="11" t="n">
        <x:f aca="0">SUM(F285*1)</x:f>
        <x:v>0</x:v>
      </x:c>
      <x:c r="P285" s="11"/>
      <x:c r="Q285" s="11" t="str">
        <x:f aca="0">A285</x:f>
        <x:v>檯面</x:v>
      </x:c>
      <x:c r="S285" s="1" t="n">
        <x:f aca="0">SUM(B285*2+C285*1)*F285</x:f>
        <x:v>0</x:v>
      </x:c>
      <x:c r="T285"/>
    </x:row>
    <x:row r="286" ht="22.200000762939453" hidden="0">
      <x:c r="A286" s="10" t="s">
        <x:v>40</x:v>
      </x:c>
      <x:c r="B286" s="10"/>
      <x:c r="C286" s="10"/>
      <x:c r="D286" s="10" t="n">
        <x:v>18</x:v>
      </x:c>
      <x:c r="E286" s="10"/>
      <x:c r="F286" s="10"/>
      <x:c r="G286" s="10"/>
      <x:c r="H286" s="10" t="n">
        <x:v>65</x:v>
      </x:c>
      <x:c r="I286" s="11" t="n">
        <x:f aca="0">ROUND((IF((B286*C286)/90000&lt;1,1))+IF((B286*C286)/90000&gt;=1,(B286*C286)/90000),1.1)</x:f>
        <x:v>1</x:v>
      </x:c>
      <x:c r="J286" s="11" t="n">
        <x:f aca="0">SUM(F286*I286)</x:f>
        <x:v>0</x:v>
      </x:c>
      <x:c r="K286" s="11" t="n">
        <x:f aca="0">SUM(H286*J286)</x:f>
        <x:v>0</x:v>
      </x:c>
      <x:c r="L286" s="11"/>
      <x:c r="M286" s="11" t="n">
        <x:f aca="0">SUM(C286)</x:f>
        <x:v>0</x:v>
      </x:c>
      <x:c r="N286" s="11" t="n">
        <x:f aca="0">SUM(B286)</x:f>
        <x:v>0</x:v>
      </x:c>
      <x:c r="O286" s="11" t="n">
        <x:f aca="0">SUM(F286*1)</x:f>
        <x:v>0</x:v>
      </x:c>
      <x:c r="P286" s="11"/>
      <x:c r="Q286" s="11" t="str">
        <x:f aca="0">A286</x:f>
        <x:v>背條</x:v>
      </x:c>
      <x:c r="T286"/>
    </x:row>
    <x:row r="287" ht="22.200000762939453" hidden="0">
      <x:c r="A287" s="10" t="s">
        <x:v>40</x:v>
      </x:c>
      <x:c r="B287" s="10"/>
      <x:c r="C287" s="10"/>
      <x:c r="D287" s="10" t="n">
        <x:v>18</x:v>
      </x:c>
      <x:c r="E287" s="10"/>
      <x:c r="F287" s="10"/>
      <x:c r="G287" s="10"/>
      <x:c r="H287" s="10" t="n">
        <x:v>65</x:v>
      </x:c>
      <x:c r="I287" s="11" t="n">
        <x:f aca="0">ROUND((IF((B287*C287)/90000&lt;1,1))+IF((B287*C287)/90000&gt;=1,(B287*C287)/90000),1.1)</x:f>
        <x:v>1</x:v>
      </x:c>
      <x:c r="J287" s="11" t="n">
        <x:f aca="0">SUM(F287*I287)</x:f>
        <x:v>0</x:v>
      </x:c>
      <x:c r="K287" s="11" t="n">
        <x:f aca="0">SUM(H287*J287)</x:f>
        <x:v>0</x:v>
      </x:c>
      <x:c r="L287" s="11"/>
      <x:c r="M287" s="11" t="n">
        <x:f aca="0">SUM(C287)</x:f>
        <x:v>0</x:v>
      </x:c>
      <x:c r="N287" s="11" t="n">
        <x:f aca="0">SUM(B287)</x:f>
        <x:v>0</x:v>
      </x:c>
      <x:c r="O287" s="11" t="n">
        <x:f aca="0">SUM(F287*1)</x:f>
        <x:v>0</x:v>
      </x:c>
      <x:c r="P287" s="11"/>
      <x:c r="Q287" s="11" t="str">
        <x:f aca="0">A287</x:f>
        <x:v>背條</x:v>
      </x:c>
      <x:c r="T287"/>
    </x:row>
    <x:row r="288" ht="22.200000762939453" hidden="0">
      <x:c r="A288" s="10" t="s">
        <x:v>40</x:v>
      </x:c>
      <x:c r="B288" s="10"/>
      <x:c r="C288" s="10"/>
      <x:c r="D288" s="10" t="n">
        <x:v>18</x:v>
      </x:c>
      <x:c r="E288" s="10"/>
      <x:c r="F288" s="10"/>
      <x:c r="G288" s="10"/>
      <x:c r="H288" s="10" t="n">
        <x:v>65</x:v>
      </x:c>
      <x:c r="I288" s="11" t="n">
        <x:f aca="0">ROUND((IF((B288*C288)/90000&lt;1,1))+IF((B288*C288)/90000&gt;=1,(B288*C288)/90000),1.1)</x:f>
        <x:v>1</x:v>
      </x:c>
      <x:c r="J288" s="11" t="n">
        <x:f aca="0">SUM(F288*I288)</x:f>
        <x:v>0</x:v>
      </x:c>
      <x:c r="K288" s="11" t="n">
        <x:f aca="0">SUM(H288*J288)</x:f>
        <x:v>0</x:v>
      </x:c>
      <x:c r="L288" s="11"/>
      <x:c r="M288" s="11" t="n">
        <x:f aca="0">SUM(C288)</x:f>
        <x:v>0</x:v>
      </x:c>
      <x:c r="N288" s="11" t="n">
        <x:f aca="0">SUM(B288)</x:f>
        <x:v>0</x:v>
      </x:c>
      <x:c r="O288" s="11" t="n">
        <x:f aca="0">SUM(F288*1)</x:f>
        <x:v>0</x:v>
      </x:c>
      <x:c r="P288" s="11"/>
      <x:c r="Q288" s="11" t="str">
        <x:f aca="0">A288</x:f>
        <x:v>背條</x:v>
      </x:c>
      <x:c r="T288"/>
    </x:row>
    <x:row r="289" ht="22.200000762939453" hidden="0">
      <x:c r="A289" s="10" t="s">
        <x:v>40</x:v>
      </x:c>
      <x:c r="B289" s="10"/>
      <x:c r="C289" s="10"/>
      <x:c r="D289" s="10" t="n">
        <x:v>18</x:v>
      </x:c>
      <x:c r="E289" s="10"/>
      <x:c r="F289" s="10"/>
      <x:c r="G289" s="10"/>
      <x:c r="H289" s="10" t="n">
        <x:v>65</x:v>
      </x:c>
      <x:c r="I289" s="11" t="n">
        <x:f aca="0">ROUND((IF((B289*C289)/90000&lt;1,1))+IF((B289*C289)/90000&gt;=1,(B289*C289)/90000),1.1)</x:f>
        <x:v>1</x:v>
      </x:c>
      <x:c r="J289" s="11" t="n">
        <x:f aca="0">SUM(F289*I289)</x:f>
        <x:v>0</x:v>
      </x:c>
      <x:c r="K289" s="11" t="n">
        <x:f aca="0">SUM(H289*J289)</x:f>
        <x:v>0</x:v>
      </x:c>
      <x:c r="L289" s="11"/>
      <x:c r="M289" s="11" t="n">
        <x:f aca="0">SUM(C289)</x:f>
        <x:v>0</x:v>
      </x:c>
      <x:c r="N289" s="11" t="n">
        <x:f aca="0">SUM(B289)</x:f>
        <x:v>0</x:v>
      </x:c>
      <x:c r="O289" s="11" t="n">
        <x:f aca="0">SUM(F289*1)</x:f>
        <x:v>0</x:v>
      </x:c>
      <x:c r="P289" s="11"/>
      <x:c r="Q289" s="11" t="str">
        <x:f aca="0">A289</x:f>
        <x:v>背條</x:v>
      </x:c>
      <x:c r="T289"/>
    </x:row>
    <x:row r="290" ht="22.200000762939453" hidden="0">
      <x:c r="A290" s="12" t="s">
        <x:v>41</x:v>
      </x:c>
      <x:c r="B290" s="10"/>
      <x:c r="C290" s="10"/>
      <x:c r="D290" s="10"/>
      <x:c r="E290" s="10"/>
      <x:c r="F290" s="10"/>
      <x:c r="G290" s="10"/>
      <x:c r="H290" s="10" t="n">
        <x:v>11</x:v>
      </x:c>
      <x:c r="I290" s="11"/>
      <x:c r="J290" s="11"/>
      <x:c r="K290" s="11" t="n">
        <x:f aca="0">SUM(F290*H290)</x:f>
        <x:v>0</x:v>
      </x:c>
      <x:c r="L290" s="11"/>
      <x:c r="M290" s="11"/>
      <x:c r="N290" s="11"/>
      <x:c r="O290" s="11"/>
      <x:c r="P290" s="11"/>
      <x:c r="Q290" s="11"/>
      <x:c r="T290"/>
    </x:row>
    <x:row r="291" ht="22.200000762939453" hidden="0">
      <x:c r="A291" s="12" t="s">
        <x:v>42</x:v>
      </x:c>
      <x:c r="B291" s="10"/>
      <x:c r="C291" s="10"/>
      <x:c r="D291" s="10"/>
      <x:c r="E291" s="10"/>
      <x:c r="F291" s="10"/>
      <x:c r="G291" s="10"/>
      <x:c r="H291" s="10" t="n">
        <x:v>9</x:v>
      </x:c>
      <x:c r="I291" s="11"/>
      <x:c r="J291" s="11"/>
      <x:c r="K291" s="11" t="n">
        <x:f aca="0">SUM(F291*H291)</x:f>
        <x:v>0</x:v>
      </x:c>
      <x:c r="L291" s="11"/>
      <x:c r="M291" s="11"/>
      <x:c r="N291" s="11"/>
      <x:c r="O291" s="11"/>
      <x:c r="P291" s="11"/>
      <x:c r="Q291" s="11"/>
      <x:c r="R291" s="9"/>
      <x:c r="S291" s="13"/>
      <x:c r="T291"/>
    </x:row>
    <x:row r="292" ht="22.200000762939453" hidden="0">
      <x:c r="A292" s="10" t="s">
        <x:v>43</x:v>
      </x:c>
      <x:c r="B292" s="10"/>
      <x:c r="C292" s="10"/>
      <x:c r="D292" s="10"/>
      <x:c r="E292" s="10"/>
      <x:c r="F292" s="10"/>
      <x:c r="G292" s="10"/>
      <x:c r="H292" s="10" t="n">
        <x:v>1</x:v>
      </x:c>
      <x:c r="I292" s="11"/>
      <x:c r="J292" s="11"/>
      <x:c r="K292" s="11" t="n">
        <x:f aca="0">SUM(F292*H292)</x:f>
        <x:v>0</x:v>
      </x:c>
      <x:c r="L292" s="11"/>
      <x:c r="M292" s="11"/>
      <x:c r="N292" s="11"/>
      <x:c r="O292" s="11"/>
      <x:c r="P292" s="11"/>
      <x:c r="Q292" s="11"/>
      <x:c r="T292"/>
    </x:row>
    <x:row r="293" ht="22.200000762939453" hidden="0">
      <x:c r="A293" s="10" t="s">
        <x:v>44</x:v>
      </x:c>
      <x:c r="B293" s="10"/>
      <x:c r="C293" s="10"/>
      <x:c r="D293" s="10"/>
      <x:c r="E293" s="10"/>
      <x:c r="F293" s="10"/>
      <x:c r="G293" s="10"/>
      <x:c r="H293" s="10" t="n">
        <x:v>11</x:v>
      </x:c>
      <x:c r="I293" s="11"/>
      <x:c r="J293" s="11"/>
      <x:c r="K293" s="11" t="n">
        <x:f aca="0">SUM(F293*H293)</x:f>
        <x:v>0</x:v>
      </x:c>
      <x:c r="L293" s="11"/>
      <x:c r="M293" s="11"/>
      <x:c r="N293" s="11"/>
      <x:c r="O293" s="11"/>
      <x:c r="P293" s="11"/>
      <x:c r="Q293" s="11"/>
      <x:c r="T293"/>
    </x:row>
    <x:row r="294" ht="22.200000762939453" hidden="0">
      <x:c r="A294" s="10" t="s">
        <x:v>45</x:v>
      </x:c>
      <x:c r="B294" s="10"/>
      <x:c r="C294" s="10"/>
      <x:c r="D294" s="10"/>
      <x:c r="E294" s="10"/>
      <x:c r="F294" s="10"/>
      <x:c r="G294" s="10"/>
      <x:c r="H294" s="10" t="n">
        <x:v>7</x:v>
      </x:c>
      <x:c r="I294" s="11"/>
      <x:c r="J294" s="11"/>
      <x:c r="K294" s="11" t="n">
        <x:f aca="0">SUM(F294*H294)</x:f>
        <x:v>0</x:v>
      </x:c>
      <x:c r="L294" s="11"/>
      <x:c r="M294" s="11"/>
      <x:c r="N294" s="11"/>
      <x:c r="O294" s="11"/>
      <x:c r="P294" s="11"/>
      <x:c r="Q294" s="11"/>
      <x:c r="T294"/>
    </x:row>
    <x:row r="295" ht="22.200000762939453" hidden="0">
      <x:c r="A295" s="12" t="s">
        <x:v>65</x:v>
      </x:c>
      <x:c r="B295" s="10"/>
      <x:c r="C295" s="10"/>
      <x:c r="D295" s="10"/>
      <x:c r="E295" s="10"/>
      <x:c r="F295" s="10"/>
      <x:c r="G295" s="10"/>
      <x:c r="H295" s="10" t="n">
        <x:v>50</x:v>
      </x:c>
      <x:c r="I295" s="11"/>
      <x:c r="J295" s="11"/>
      <x:c r="K295" s="11" t="n">
        <x:f aca="0">SUM(F295*H295)</x:f>
        <x:v>0</x:v>
      </x:c>
      <x:c r="L295" s="11"/>
      <x:c r="M295" s="11"/>
      <x:c r="N295" s="11"/>
      <x:c r="O295" s="11"/>
      <x:c r="P295" s="11"/>
      <x:c r="Q295" s="11"/>
      <x:c r="T295"/>
    </x:row>
    <x:row r="296" ht="22.200000762939453" hidden="0">
      <x:c r="A296" s="10" t="s">
        <x:v>47</x:v>
      </x:c>
      <x:c r="B296" s="10"/>
      <x:c r="C296" s="10"/>
      <x:c r="D296" s="10"/>
      <x:c r="E296" s="10"/>
      <x:c r="F296" s="10"/>
      <x:c r="G296" s="10"/>
      <x:c r="H296" s="10" t="n">
        <x:v>90</x:v>
      </x:c>
      <x:c r="I296" s="11"/>
      <x:c r="J296" s="11"/>
      <x:c r="K296" s="11" t="n">
        <x:f aca="0">SUM(F296*H296)</x:f>
        <x:v>0</x:v>
      </x:c>
      <x:c r="L296" s="11"/>
      <x:c r="M296" s="11"/>
      <x:c r="N296" s="11"/>
      <x:c r="O296" s="11"/>
      <x:c r="P296" s="11"/>
      <x:c r="Q296" s="11"/>
      <x:c r="T296"/>
    </x:row>
    <x:row r="297" ht="22.200000762939453" hidden="0">
      <x:c r="A297" s="10" t="s">
        <x:v>48</x:v>
      </x:c>
      <x:c r="B297" s="10"/>
      <x:c r="C297" s="10"/>
      <x:c r="D297" s="10"/>
      <x:c r="E297" s="10"/>
      <x:c r="F297" s="10"/>
      <x:c r="G297" s="10"/>
      <x:c r="H297" s="10" t="n">
        <x:v>275</x:v>
      </x:c>
      <x:c r="I297" s="11"/>
      <x:c r="J297" s="11"/>
      <x:c r="K297" s="11" t="n">
        <x:f aca="0">SUM(F297*H297)</x:f>
        <x:v>0</x:v>
      </x:c>
      <x:c r="L297" s="11"/>
      <x:c r="M297" s="11"/>
      <x:c r="N297" s="11"/>
      <x:c r="O297" s="11"/>
      <x:c r="P297" s="11"/>
      <x:c r="Q297" s="11"/>
      <x:c r="T297"/>
    </x:row>
    <x:row r="298" ht="22.200000762939453" hidden="0">
      <x:c r="A298" s="12" t="s">
        <x:v>49</x:v>
      </x:c>
      <x:c r="B298" s="10"/>
      <x:c r="C298" s="10"/>
      <x:c r="D298" s="10"/>
      <x:c r="E298" s="10"/>
      <x:c r="F298" s="10"/>
      <x:c r="G298" s="10"/>
      <x:c r="H298" s="10" t="n">
        <x:v>165</x:v>
      </x:c>
      <x:c r="I298" s="11"/>
      <x:c r="J298" s="11"/>
      <x:c r="K298" s="11" t="n">
        <x:f aca="0">SUM(F298*H298)</x:f>
        <x:v>0</x:v>
      </x:c>
      <x:c r="L298" s="11"/>
      <x:c r="M298" s="11"/>
      <x:c r="N298" s="11"/>
      <x:c r="O298" s="11"/>
      <x:c r="P298" s="11"/>
      <x:c r="Q298" s="11"/>
      <x:c r="T298"/>
    </x:row>
    <x:row r="299" ht="22.200000762939453" hidden="0">
      <x:c r="A299" s="12" t="s">
        <x:v>50</x:v>
      </x:c>
      <x:c r="B299" s="10"/>
      <x:c r="C299" s="10"/>
      <x:c r="D299" s="10"/>
      <x:c r="E299" s="10"/>
      <x:c r="F299" s="10"/>
      <x:c r="G299" s="10"/>
      <x:c r="H299" s="10"/>
      <x:c r="I299" s="11"/>
      <x:c r="J299" s="11"/>
      <x:c r="K299" s="11" t="n">
        <x:f aca="0">SUM(F299*H299)</x:f>
        <x:v>0</x:v>
      </x:c>
      <x:c r="L299" s="11"/>
      <x:c r="M299" s="11"/>
      <x:c r="N299" s="11"/>
      <x:c r="O299" s="11"/>
      <x:c r="P299" s="11"/>
      <x:c r="Q299" s="11"/>
      <x:c r="T299"/>
    </x:row>
    <x:row r="300" ht="22.200000762939453" hidden="0">
      <x:c r="A300" s="12" t="s">
        <x:v>51</x:v>
      </x:c>
      <x:c r="B300" s="10"/>
      <x:c r="C300" s="10"/>
      <x:c r="D300" s="10"/>
      <x:c r="E300" s="10"/>
      <x:c r="F300" s="10"/>
      <x:c r="G300" s="10"/>
      <x:c r="H300" s="10"/>
      <x:c r="I300" s="11"/>
      <x:c r="J300" s="11"/>
      <x:c r="K300" s="11" t="n">
        <x:f aca="0">SUM(F300*H300)</x:f>
        <x:v>0</x:v>
      </x:c>
      <x:c r="L300" s="11"/>
      <x:c r="M300" s="11"/>
      <x:c r="N300" s="11"/>
      <x:c r="O300" s="11"/>
      <x:c r="P300" s="11"/>
      <x:c r="Q300" s="11"/>
      <x:c r="T300"/>
    </x:row>
    <x:row r="301" ht="22.200000762939453" hidden="0">
      <x:c r="A301" s="12" t="s">
        <x:v>52</x:v>
      </x:c>
      <x:c r="B301" s="10"/>
      <x:c r="C301" s="10"/>
      <x:c r="D301" s="10"/>
      <x:c r="E301" s="10"/>
      <x:c r="F301" s="10"/>
      <x:c r="G301" s="10"/>
      <x:c r="H301" s="10"/>
      <x:c r="I301" s="11"/>
      <x:c r="J301" s="11"/>
      <x:c r="K301" s="11" t="n">
        <x:f aca="0">SUM(F301*H301)</x:f>
        <x:v>0</x:v>
      </x:c>
      <x:c r="L301" s="11"/>
      <x:c r="M301" s="11"/>
      <x:c r="N301" s="11"/>
      <x:c r="O301" s="11"/>
      <x:c r="P301" s="11"/>
      <x:c r="Q301" s="11"/>
      <x:c r="T301"/>
    </x:row>
    <x:row r="302" ht="22.200000762939453" hidden="0">
      <x:c r="A302" s="12" t="s">
        <x:v>53</x:v>
      </x:c>
      <x:c r="B302" s="10"/>
      <x:c r="C302" s="10"/>
      <x:c r="D302" s="10"/>
      <x:c r="E302" s="10"/>
      <x:c r="F302" s="10"/>
      <x:c r="G302" s="10"/>
      <x:c r="H302" s="10" t="n">
        <x:v>66</x:v>
      </x:c>
      <x:c r="I302" s="11"/>
      <x:c r="J302" s="11"/>
      <x:c r="K302" s="11" t="n">
        <x:f aca="0">SUM(F302*H302)</x:f>
        <x:v>0</x:v>
      </x:c>
      <x:c r="L302" s="11"/>
      <x:c r="M302" s="11"/>
      <x:c r="N302" s="11"/>
      <x:c r="O302" s="11"/>
      <x:c r="P302" s="11"/>
      <x:c r="Q302" s="11"/>
      <x:c r="T302"/>
    </x:row>
    <x:row r="303" ht="22.200000762939453" hidden="0">
      <x:c r="A303" s="10" t="s">
        <x:v>54</x:v>
      </x:c>
      <x:c r="B303" s="10"/>
      <x:c r="C303" s="10"/>
      <x:c r="D303" s="10"/>
      <x:c r="E303" s="10"/>
      <x:c r="F303" s="10"/>
      <x:c r="G303" s="10"/>
      <x:c r="H303" s="10" t="n">
        <x:v>220</x:v>
      </x:c>
      <x:c r="I303" s="11"/>
      <x:c r="J303" s="11"/>
      <x:c r="K303" s="11" t="n">
        <x:f aca="0">SUM(F303*H303)</x:f>
        <x:v>0</x:v>
      </x:c>
      <x:c r="L303" s="11"/>
      <x:c r="M303" s="11"/>
      <x:c r="N303" s="11"/>
      <x:c r="O303" s="11"/>
      <x:c r="P303" s="11"/>
      <x:c r="Q303" s="11"/>
      <x:c r="T303"/>
    </x:row>
    <x:row r="304" ht="22.200000762939453" hidden="0">
      <x:c r="A304" s="12" t="s">
        <x:v>55</x:v>
      </x:c>
      <x:c r="B304" s="10"/>
      <x:c r="C304" s="10"/>
      <x:c r="D304" s="10"/>
      <x:c r="E304" s="10"/>
      <x:c r="F304" s="10"/>
      <x:c r="G304" s="10"/>
      <x:c r="H304" s="10"/>
      <x:c r="I304" s="11"/>
      <x:c r="J304" s="11"/>
      <x:c r="K304" s="11" t="n">
        <x:f aca="0">SUM(F304*H304)</x:f>
        <x:v>0</x:v>
      </x:c>
      <x:c r="L304" s="11"/>
      <x:c r="M304" s="11"/>
      <x:c r="N304" s="11"/>
      <x:c r="O304" s="11"/>
      <x:c r="P304" s="11"/>
      <x:c r="Q304" s="11"/>
      <x:c r="T304"/>
    </x:row>
    <x:row r="305" ht="22.200000762939453" hidden="0">
      <x:c r="A305" s="10" t="s">
        <x:v>56</x:v>
      </x:c>
      <x:c r="B305" s="10"/>
      <x:c r="C305" s="10"/>
      <x:c r="D305" s="10"/>
      <x:c r="E305" s="10"/>
      <x:c r="F305" s="10"/>
      <x:c r="G305" s="10"/>
      <x:c r="H305" s="10" t="n">
        <x:v>800</x:v>
      </x:c>
      <x:c r="I305" s="11"/>
      <x:c r="J305" s="11"/>
      <x:c r="K305" s="11" t="n">
        <x:f aca="0">SUM(F305*H305)</x:f>
        <x:v>0</x:v>
      </x:c>
      <x:c r="L305" s="11"/>
      <x:c r="M305" s="11"/>
      <x:c r="N305" s="11"/>
      <x:c r="O305" s="11"/>
      <x:c r="P305" s="11"/>
      <x:c r="Q305" s="11"/>
      <x:c r="T305"/>
    </x:row>
    <x:row r="306" ht="22.200000762939453" hidden="0">
      <x:c r="A306" s="10" t="s">
        <x:v>57</x:v>
      </x:c>
      <x:c r="B306" s="10"/>
      <x:c r="C306" s="10"/>
      <x:c r="D306" s="10"/>
      <x:c r="E306" s="10"/>
      <x:c r="F306" s="10"/>
      <x:c r="G306" s="10"/>
      <x:c r="H306" s="10" t="n">
        <x:v>200</x:v>
      </x:c>
      <x:c r="I306" s="11"/>
      <x:c r="J306" s="11"/>
      <x:c r="K306" s="11" t="n">
        <x:f aca="0">SUM(F306*H306)</x:f>
        <x:v>0</x:v>
      </x:c>
      <x:c r="L306" s="11"/>
      <x:c r="M306" s="11"/>
      <x:c r="N306" s="11"/>
      <x:c r="O306" s="11"/>
      <x:c r="P306" s="11"/>
      <x:c r="Q306" s="11"/>
      <x:c r="T306"/>
    </x:row>
    <x:row r="307" ht="22.200000762939453" hidden="0">
      <x:c r="A307" s="10" t="s">
        <x:v>58</x:v>
      </x:c>
      <x:c r="B307" s="10"/>
      <x:c r="C307" s="10"/>
      <x:c r="D307" s="10"/>
      <x:c r="E307" s="10"/>
      <x:c r="F307" s="10"/>
      <x:c r="G307" s="10"/>
      <x:c r="H307" s="10" t="n">
        <x:v>150</x:v>
      </x:c>
      <x:c r="I307" s="11"/>
      <x:c r="J307" s="11"/>
      <x:c r="K307" s="11" t="n">
        <x:f aca="0">SUM(F307*H307)</x:f>
        <x:v>0</x:v>
      </x:c>
      <x:c r="L307" s="11"/>
      <x:c r="M307" s="11"/>
      <x:c r="N307" s="11"/>
      <x:c r="O307" s="11"/>
      <x:c r="P307" s="11"/>
      <x:c r="Q307" s="11"/>
      <x:c r="T307"/>
    </x:row>
    <x:row r="308" ht="22.200000762939453" hidden="0">
      <x:c r="A308" s="10" t="s">
        <x:v>59</x:v>
      </x:c>
      <x:c r="B308" s="10"/>
      <x:c r="C308" s="10"/>
      <x:c r="D308" s="10"/>
      <x:c r="E308" s="10"/>
      <x:c r="F308" s="10"/>
      <x:c r="G308" s="10"/>
      <x:c r="H308" s="10" t="n">
        <x:v>34</x:v>
      </x:c>
      <x:c r="I308" s="11"/>
      <x:c r="J308" s="11"/>
      <x:c r="K308" s="11" t="n">
        <x:f aca="0">SUM(F308*H308)</x:f>
        <x:v>0</x:v>
      </x:c>
      <x:c r="L308" s="11"/>
      <x:c r="M308" s="11"/>
      <x:c r="N308" s="11"/>
      <x:c r="O308" s="11"/>
      <x:c r="P308" s="11"/>
      <x:c r="Q308" s="11"/>
      <x:c r="T308"/>
    </x:row>
    <x:row r="309" ht="22.200000762939453" hidden="0">
      <x:c r="A309" s="10" t="s">
        <x:v>60</x:v>
      </x:c>
      <x:c r="B309" s="10"/>
      <x:c r="C309" s="10"/>
      <x:c r="D309" s="10"/>
      <x:c r="E309" s="10"/>
      <x:c r="F309" s="10"/>
      <x:c r="G309" s="10"/>
      <x:c r="H309" s="10" t="n">
        <x:v>6</x:v>
      </x:c>
      <x:c r="I309" s="11"/>
      <x:c r="J309" s="11"/>
      <x:c r="K309" s="11" t="n">
        <x:f aca="0">SUM(F309*H309)</x:f>
        <x:v>0</x:v>
      </x:c>
      <x:c r="L309" s="11"/>
      <x:c r="M309" s="11"/>
      <x:c r="N309" s="11"/>
      <x:c r="O309" s="11"/>
      <x:c r="P309" s="11"/>
      <x:c r="Q309" s="11"/>
      <x:c r="T309"/>
    </x:row>
    <x:row r="310" ht="22.200000762939453" hidden="0">
      <x:c r="A310" s="10" t="s">
        <x:v>61</x:v>
      </x:c>
      <x:c r="B310" s="10"/>
      <x:c r="C310" s="10"/>
      <x:c r="D310" s="10"/>
      <x:c r="E310" s="10"/>
      <x:c r="F310" s="10"/>
      <x:c r="G310" s="10"/>
      <x:c r="H310" s="10" t="n">
        <x:v>670</x:v>
      </x:c>
      <x:c r="I310" s="11"/>
      <x:c r="J310" s="11"/>
      <x:c r="K310" s="11" t="n">
        <x:f aca="0">SUM(F310*H310)</x:f>
        <x:v>0</x:v>
      </x:c>
      <x:c r="L310" s="11"/>
      <x:c r="M310" s="11"/>
      <x:c r="N310" s="11"/>
      <x:c r="O310" s="11"/>
      <x:c r="P310" s="11"/>
      <x:c r="Q310" s="11"/>
      <x:c r="T310"/>
    </x:row>
    <x:row r="311" ht="22.200000762939453" hidden="0">
      <x:c r="A311" s="10" t="s">
        <x:v>62</x:v>
      </x:c>
      <x:c r="B311" s="10"/>
      <x:c r="C311" s="10"/>
      <x:c r="D311" s="10"/>
      <x:c r="E311" s="10"/>
      <x:c r="F311" s="10"/>
      <x:c r="G311" s="10"/>
      <x:c r="H311" s="10" t="n">
        <x:v>110</x:v>
      </x:c>
      <x:c r="I311" s="11"/>
      <x:c r="J311" s="11"/>
      <x:c r="K311" s="11" t="n">
        <x:f aca="0">SUM(F311*H311)</x:f>
        <x:v>0</x:v>
      </x:c>
      <x:c r="L311" s="11"/>
      <x:c r="M311" s="11"/>
      <x:c r="N311" s="11"/>
      <x:c r="O311" s="11"/>
      <x:c r="P311" s="11"/>
      <x:c r="Q311" s="11"/>
      <x:c r="T311"/>
    </x:row>
    <x:row r="312" ht="22.200000762939453" hidden="0">
      <x:c r="A312" s="10" t="s">
        <x:v>63</x:v>
      </x:c>
      <x:c r="B312" s="10"/>
      <x:c r="C312" s="10"/>
      <x:c r="D312" s="10"/>
      <x:c r="E312" s="10"/>
      <x:c r="F312" s="10"/>
      <x:c r="G312" s="10"/>
      <x:c r="H312" s="10"/>
      <x:c r="I312" s="11"/>
      <x:c r="J312" s="11"/>
      <x:c r="K312" s="11" t="n">
        <x:f aca="0">SUM(F312*H312)</x:f>
        <x:v>0</x:v>
      </x:c>
      <x:c r="L312" s="11"/>
      <x:c r="M312" s="11"/>
      <x:c r="N312" s="11"/>
      <x:c r="O312" s="11"/>
      <x:c r="P312" s="11"/>
      <x:c r="Q312" s="11"/>
      <x:c r="T312"/>
    </x:row>
    <x:row r="313" ht="22.200000762939453" hidden="0">
      <x:c r="A313" s="10"/>
      <x:c r="B313" s="10"/>
      <x:c r="C313" s="10"/>
      <x:c r="D313" s="10"/>
      <x:c r="E313" s="10"/>
      <x:c r="F313" s="10"/>
      <x:c r="G313" s="10"/>
      <x:c r="H313" s="10"/>
      <x:c r="I313" s="11"/>
      <x:c r="J313" s="11"/>
      <x:c r="K313" s="11" t="n">
        <x:f aca="0">SUM(F313*H313)</x:f>
        <x:v>0</x:v>
      </x:c>
      <x:c r="L313" s="11"/>
      <x:c r="M313" s="11"/>
      <x:c r="N313" s="11"/>
      <x:c r="O313" s="11"/>
      <x:c r="P313" s="11"/>
      <x:c r="Q313" s="11"/>
      <x:c r="T313"/>
    </x:row>
    <x:row r="314" ht="22.200000762939453" hidden="0">
      <x:c r="A314" s="15"/>
      <x:c r="B314" s="15"/>
      <x:c r="C314" s="15"/>
      <x:c r="D314" s="15"/>
      <x:c r="E314" s="15"/>
      <x:c r="F314" s="15"/>
      <x:c r="G314" s="15"/>
      <x:c r="H314" s="15"/>
      <x:c r="I314" s="11" t="n">
        <x:f aca="0">SUM(B314*C314)/90000</x:f>
        <x:v>0</x:v>
      </x:c>
      <x:c r="J314" s="15" t="s">
        <x:v>17</x:v>
      </x:c>
      <x:c r="K314" s="16" t="n">
        <x:f aca="0">SUM(K241:K313)</x:f>
        <x:v>0</x:v>
      </x:c>
      <x:c r="L314" s="16" t="n">
        <x:f aca="0">SUM(K314*1.35)</x:f>
        <x:v>0</x:v>
      </x:c>
      <x:c r="M314" s="16"/>
      <x:c r="N314" s="16" t="n">
        <x:f aca="0">SUM(M314*1.25)</x:f>
        <x:v>0</x:v>
      </x:c>
      <x:c r="O314" s="16"/>
      <x:c r="P314" s="16"/>
      <x:c r="Q314" s="16"/>
      <x:c r="T314"/>
    </x:row>
    <x:row r="318" ht="22.200000762939453" hidden="0">
      <x:c r="A318" s="5"/>
      <x:c r="B318" s="5"/>
      <x:c r="C318" s="5"/>
      <x:c r="D318" s="5"/>
      <x:c r="E318" s="5"/>
      <x:c r="F318" s="5"/>
      <x:c r="G318" s="6"/>
      <x:c r="H318" s="5"/>
      <x:c r="I318" s="3"/>
      <x:c r="J318" s="3"/>
      <x:c r="K318" s="4"/>
      <x:c r="L318" s="4"/>
      <x:c r="M318" s="4"/>
      <x:c r="N318" s="4"/>
      <x:c r="O318" s="4"/>
      <x:c r="P318" s="4"/>
      <x:c r="Q318" s="4"/>
      <x:c r="R318" s="4"/>
    </x:row>
    <x:row r="319" ht="22.200000762939453" hidden="0">
      <x:c r="A319" s="7" t="s">
        <x:v>3</x:v>
      </x:c>
      <x:c r="B319" s="8" t="s">
        <x:v>4</x:v>
      </x:c>
      <x:c r="C319" s="8"/>
      <x:c r="D319" s="7" t="s">
        <x:v>5</x:v>
      </x:c>
      <x:c r="E319" s="7"/>
      <x:c r="F319" s="7" t="s">
        <x:v>6</x:v>
      </x:c>
      <x:c r="G319" s="7"/>
      <x:c r="H319" s="7" t="s">
        <x:v>7</x:v>
      </x:c>
      <x:c r="I319" s="7" t="s">
        <x:v>8</x:v>
      </x:c>
      <x:c r="J319" s="7" t="s">
        <x:v>9</x:v>
      </x:c>
      <x:c r="K319" s="7" t="s">
        <x:v>10</x:v>
      </x:c>
      <x:c r="L319" s="7"/>
      <x:c r="M319" s="7" t="s">
        <x:v>11</x:v>
      </x:c>
      <x:c r="N319" s="7" t="s">
        <x:v>12</x:v>
      </x:c>
      <x:c r="O319" s="7" t="s">
        <x:v>6</x:v>
      </x:c>
      <x:c r="P319" s="7" t="s">
        <x:v>13</x:v>
      </x:c>
      <x:c r="Q319" s="7" t="s">
        <x:v>14</x:v>
      </x:c>
      <x:c r="R319" s="9" t="s">
        <x:v>15</x:v>
      </x:c>
      <x:c r="S319" s="9" t="s">
        <x:v>16</x:v>
      </x:c>
      <x:c r="T319"/>
    </x:row>
    <x:row r="320" ht="22.200000762939453" hidden="0">
      <x:c r="A320" s="10" t="s">
        <x:v>18</x:v>
      </x:c>
      <x:c r="B320" s="10"/>
      <x:c r="C320" s="10"/>
      <x:c r="D320" s="10" t="n">
        <x:v>18</x:v>
      </x:c>
      <x:c r="E320" s="10"/>
      <x:c r="F320" s="10"/>
      <x:c r="G320" s="10"/>
      <x:c r="H320" s="10" t="n">
        <x:v>69</x:v>
      </x:c>
      <x:c r="I320" s="11" t="n">
        <x:f aca="0">ROUND((IF((B320*C320)/90000&lt;1,1))+IF((B320*C320)/90000&gt;=1,(B320*C320)/90000),1.1)</x:f>
        <x:v>1</x:v>
      </x:c>
      <x:c r="J320" s="11" t="n">
        <x:f aca="0">SUM(F320*I320)</x:f>
        <x:v>0</x:v>
      </x:c>
      <x:c r="K320" s="11" t="n">
        <x:f aca="0">SUM(H320*J320)</x:f>
        <x:v>0</x:v>
      </x:c>
      <x:c r="L320" s="11"/>
      <x:c r="M320" s="11" t="n">
        <x:f aca="0">SUM(C320-1)</x:f>
        <x:v>-1</x:v>
      </x:c>
      <x:c r="N320" s="11" t="n">
        <x:f aca="0">SUM(B320-1)</x:f>
        <x:v>-1</x:v>
      </x:c>
      <x:c r="O320" s="11" t="n">
        <x:f aca="0">SUM(F320*1)</x:f>
        <x:v>0</x:v>
      </x:c>
      <x:c r="P320" s="11"/>
      <x:c r="Q320" s="11" t="str">
        <x:f aca="0">A320</x:f>
        <x:v>側板</x:v>
      </x:c>
      <x:c r="R320" s="1" t="n">
        <x:f aca="0">SUM(B320*2+C320*2)*F320</x:f>
        <x:v>0</x:v>
      </x:c>
      <x:c r="T320"/>
    </x:row>
    <x:row r="321" ht="22.200000762939453" hidden="0">
      <x:c r="A321" s="10" t="s">
        <x:v>18</x:v>
      </x:c>
      <x:c r="B321" s="10"/>
      <x:c r="C321" s="10"/>
      <x:c r="D321" s="10" t="n">
        <x:v>18</x:v>
      </x:c>
      <x:c r="E321" s="10"/>
      <x:c r="F321" s="10"/>
      <x:c r="G321" s="10"/>
      <x:c r="H321" s="10" t="n">
        <x:v>69</x:v>
      </x:c>
      <x:c r="I321" s="11" t="n">
        <x:f aca="0">ROUND((IF((B321*C321)/90000&lt;1,1))+IF((B321*C321)/90000&gt;=1,(B321*C321)/90000),1.1)</x:f>
        <x:v>1</x:v>
      </x:c>
      <x:c r="J321" s="11" t="n">
        <x:f aca="0">SUM(F321*I321)</x:f>
        <x:v>0</x:v>
      </x:c>
      <x:c r="K321" s="11" t="n">
        <x:f aca="0">SUM(H321*J321)</x:f>
        <x:v>0</x:v>
      </x:c>
      <x:c r="L321" s="11"/>
      <x:c r="M321" s="11" t="n">
        <x:f aca="0">SUM(C321-1)</x:f>
        <x:v>-1</x:v>
      </x:c>
      <x:c r="N321" s="11" t="n">
        <x:f aca="0">SUM(B321-1)</x:f>
        <x:v>-1</x:v>
      </x:c>
      <x:c r="O321" s="11" t="n">
        <x:f aca="0">SUM(F321*1)</x:f>
        <x:v>0</x:v>
      </x:c>
      <x:c r="P321" s="11"/>
      <x:c r="Q321" s="11" t="str">
        <x:f aca="0">A321</x:f>
        <x:v>側板</x:v>
      </x:c>
      <x:c r="R321" s="1" t="n">
        <x:f aca="0">SUM(B321*2+C321*2)*F321</x:f>
        <x:v>0</x:v>
      </x:c>
      <x:c r="T321"/>
    </x:row>
    <x:row r="322" ht="22.200000762939453" hidden="0">
      <x:c r="A322" s="10" t="s">
        <x:v>18</x:v>
      </x:c>
      <x:c r="B322" s="10"/>
      <x:c r="C322" s="10"/>
      <x:c r="D322" s="10" t="n">
        <x:v>18</x:v>
      </x:c>
      <x:c r="E322" s="10"/>
      <x:c r="F322" s="10"/>
      <x:c r="G322" s="10"/>
      <x:c r="H322" s="10" t="n">
        <x:v>69</x:v>
      </x:c>
      <x:c r="I322" s="11" t="n">
        <x:f aca="0">ROUND((IF((B322*C322)/90000&lt;1,1))+IF((B322*C322)/90000&gt;=1,(B322*C322)/90000),1.1)</x:f>
        <x:v>1</x:v>
      </x:c>
      <x:c r="J322" s="11" t="n">
        <x:f aca="0">SUM(F322*I322)</x:f>
        <x:v>0</x:v>
      </x:c>
      <x:c r="K322" s="11" t="n">
        <x:f aca="0">SUM(H322*J322)</x:f>
        <x:v>0</x:v>
      </x:c>
      <x:c r="L322" s="11"/>
      <x:c r="M322" s="11" t="n">
        <x:f aca="0">SUM(C322-1)</x:f>
        <x:v>-1</x:v>
      </x:c>
      <x:c r="N322" s="11" t="n">
        <x:f aca="0">SUM(B322-1)</x:f>
        <x:v>-1</x:v>
      </x:c>
      <x:c r="O322" s="11" t="n">
        <x:f aca="0">SUM(F322*1)</x:f>
        <x:v>0</x:v>
      </x:c>
      <x:c r="P322" s="11"/>
      <x:c r="Q322" s="11" t="str">
        <x:f aca="0">A322</x:f>
        <x:v>側板</x:v>
      </x:c>
      <x:c r="R322" s="1" t="n">
        <x:f aca="0">SUM(B322*2+C322*2)*F322</x:f>
        <x:v>0</x:v>
      </x:c>
      <x:c r="T322"/>
    </x:row>
    <x:row r="323" ht="22.200000762939453" hidden="0">
      <x:c r="A323" s="10" t="s">
        <x:v>19</x:v>
      </x:c>
      <x:c r="B323" s="10"/>
      <x:c r="C323" s="10"/>
      <x:c r="D323" s="10" t="n">
        <x:v>18</x:v>
      </x:c>
      <x:c r="E323" s="10"/>
      <x:c r="F323" s="10"/>
      <x:c r="G323" s="10"/>
      <x:c r="H323" s="10" t="n">
        <x:v>69</x:v>
      </x:c>
      <x:c r="I323" s="11" t="n">
        <x:f aca="0">ROUND((IF((B323*C323)/90000&lt;1,1))+IF((B323*C323)/90000&gt;=1,(B323*C323)/90000),1.1)</x:f>
        <x:v>1</x:v>
      </x:c>
      <x:c r="J323" s="11" t="n">
        <x:f aca="0">SUM(F323*I323)</x:f>
        <x:v>0</x:v>
      </x:c>
      <x:c r="K323" s="11" t="n">
        <x:f aca="0">SUM(H323*J323)</x:f>
        <x:v>0</x:v>
      </x:c>
      <x:c r="L323" s="11"/>
      <x:c r="M323" s="11" t="n">
        <x:f aca="0">SUM(C323)</x:f>
        <x:v>0</x:v>
      </x:c>
      <x:c r="N323" s="11" t="n">
        <x:f aca="0">SUM(B323-1)</x:f>
        <x:v>-1</x:v>
      </x:c>
      <x:c r="O323" s="11" t="n">
        <x:f aca="0">SUM(F323*1)</x:f>
        <x:v>0</x:v>
      </x:c>
      <x:c r="P323" s="11"/>
      <x:c r="Q323" s="11" t="str">
        <x:f aca="0">A323</x:f>
        <x:v>頂底板</x:v>
      </x:c>
      <x:c r="R323" s="1" t="n">
        <x:f aca="0">SUM(C323*2)*F323</x:f>
        <x:v>0</x:v>
      </x:c>
      <x:c r="T323"/>
    </x:row>
    <x:row r="324" ht="22.200000762939453" hidden="0">
      <x:c r="A324" s="10" t="s">
        <x:v>19</x:v>
      </x:c>
      <x:c r="B324" s="10"/>
      <x:c r="C324" s="10"/>
      <x:c r="D324" s="10" t="n">
        <x:v>18</x:v>
      </x:c>
      <x:c r="E324" s="10"/>
      <x:c r="F324" s="10"/>
      <x:c r="G324" s="10"/>
      <x:c r="H324" s="10" t="n">
        <x:v>69</x:v>
      </x:c>
      <x:c r="I324" s="11" t="n">
        <x:f aca="0">ROUND((IF((B324*C324)/90000&lt;1,1))+IF((B324*C324)/90000&gt;=1,(B324*C324)/90000),1.1)</x:f>
        <x:v>1</x:v>
      </x:c>
      <x:c r="J324" s="11" t="n">
        <x:f aca="0">SUM(F324*I324)</x:f>
        <x:v>0</x:v>
      </x:c>
      <x:c r="K324" s="11" t="n">
        <x:f aca="0">SUM(H324*J324)</x:f>
        <x:v>0</x:v>
      </x:c>
      <x:c r="L324" s="11"/>
      <x:c r="M324" s="11" t="n">
        <x:f aca="0">SUM(C324)</x:f>
        <x:v>0</x:v>
      </x:c>
      <x:c r="N324" s="11" t="n">
        <x:f aca="0">SUM(B324-1)</x:f>
        <x:v>-1</x:v>
      </x:c>
      <x:c r="O324" s="11" t="n">
        <x:f aca="0">SUM(F324*1)</x:f>
        <x:v>0</x:v>
      </x:c>
      <x:c r="P324" s="11"/>
      <x:c r="Q324" s="11" t="str">
        <x:f aca="0">A324</x:f>
        <x:v>頂底板</x:v>
      </x:c>
      <x:c r="R324" s="1" t="n">
        <x:f aca="0">SUM(C324*2)*F324</x:f>
        <x:v>0</x:v>
      </x:c>
      <x:c r="T324"/>
    </x:row>
    <x:row r="325" ht="22.200000762939453" hidden="0">
      <x:c r="A325" s="10" t="s">
        <x:v>19</x:v>
      </x:c>
      <x:c r="B325" s="10"/>
      <x:c r="C325" s="10"/>
      <x:c r="D325" s="10" t="n">
        <x:v>18</x:v>
      </x:c>
      <x:c r="E325" s="10"/>
      <x:c r="F325" s="10"/>
      <x:c r="G325" s="10"/>
      <x:c r="H325" s="10" t="n">
        <x:v>69</x:v>
      </x:c>
      <x:c r="I325" s="11" t="n">
        <x:f aca="0">ROUND((IF((B325*C325)/90000&lt;1,1))+IF((B325*C325)/90000&gt;=1,(B325*C325)/90000),1.1)</x:f>
        <x:v>1</x:v>
      </x:c>
      <x:c r="J325" s="11" t="n">
        <x:f aca="0">SUM(F325*I325)</x:f>
        <x:v>0</x:v>
      </x:c>
      <x:c r="K325" s="11" t="n">
        <x:f aca="0">SUM(H325*J325)</x:f>
        <x:v>0</x:v>
      </x:c>
      <x:c r="L325" s="11"/>
      <x:c r="M325" s="11" t="n">
        <x:f aca="0">SUM(C325)</x:f>
        <x:v>0</x:v>
      </x:c>
      <x:c r="N325" s="11" t="n">
        <x:f aca="0">SUM(B325-1)</x:f>
        <x:v>-1</x:v>
      </x:c>
      <x:c r="O325" s="11" t="n">
        <x:f aca="0">SUM(F325*1)</x:f>
        <x:v>0</x:v>
      </x:c>
      <x:c r="P325" s="11"/>
      <x:c r="Q325" s="11" t="str">
        <x:f aca="0">A325</x:f>
        <x:v>頂底板</x:v>
      </x:c>
      <x:c r="R325" s="1" t="n">
        <x:f aca="0">SUM(C325*2)*F325</x:f>
        <x:v>0</x:v>
      </x:c>
      <x:c r="T325"/>
    </x:row>
    <x:row r="326" ht="22.200000762939453" hidden="0">
      <x:c r="A326" s="10" t="s">
        <x:v>20</x:v>
      </x:c>
      <x:c r="B326" s="10"/>
      <x:c r="C326" s="10"/>
      <x:c r="D326" s="10" t="n">
        <x:v>18</x:v>
      </x:c>
      <x:c r="E326" s="10"/>
      <x:c r="F326" s="10"/>
      <x:c r="G326" s="10"/>
      <x:c r="H326" s="10" t="n">
        <x:v>74</x:v>
      </x:c>
      <x:c r="I326" s="11" t="n">
        <x:f aca="0">ROUND((IF((B326*C326)/90000&lt;1,1))+IF((B326*C326)/90000&gt;=1,(B326*C326)/90000),1.1)</x:f>
        <x:v>1</x:v>
      </x:c>
      <x:c r="J326" s="11" t="n">
        <x:f aca="0">SUM(F326*I326)</x:f>
        <x:v>0</x:v>
      </x:c>
      <x:c r="K326" s="11" t="n">
        <x:f aca="0">SUM(H326*J326)</x:f>
        <x:v>0</x:v>
      </x:c>
      <x:c r="L326" s="11"/>
      <x:c r="M326" s="11" t="n">
        <x:f aca="0">SUM(C326)</x:f>
        <x:v>0</x:v>
      </x:c>
      <x:c r="N326" s="11" t="n">
        <x:f aca="0">SUM(B326-1)</x:f>
        <x:v>-1</x:v>
      </x:c>
      <x:c r="O326" s="11" t="n">
        <x:f aca="0">SUM(F326*1)</x:f>
        <x:v>0</x:v>
      </x:c>
      <x:c r="P326" s="11"/>
      <x:c r="Q326" s="11" t="str">
        <x:f aca="0">A326</x:f>
        <x:v>中立板</x:v>
      </x:c>
      <x:c r="R326" s="1" t="n">
        <x:f aca="0">SUM(C326*1)*F326</x:f>
        <x:v>0</x:v>
      </x:c>
      <x:c r="T326"/>
    </x:row>
    <x:row r="327" ht="22.200000762939453" hidden="0">
      <x:c r="A327" s="10" t="s">
        <x:v>20</x:v>
      </x:c>
      <x:c r="B327" s="10"/>
      <x:c r="C327" s="10"/>
      <x:c r="D327" s="10" t="n">
        <x:v>18</x:v>
      </x:c>
      <x:c r="E327" s="10"/>
      <x:c r="F327" s="10"/>
      <x:c r="G327" s="10"/>
      <x:c r="H327" s="10" t="n">
        <x:v>74</x:v>
      </x:c>
      <x:c r="I327" s="11" t="n">
        <x:f aca="0">ROUND((IF((B327*C327)/90000&lt;1,1))+IF((B327*C327)/90000&gt;=1,(B327*C327)/90000),1.1)</x:f>
        <x:v>1</x:v>
      </x:c>
      <x:c r="J327" s="11" t="n">
        <x:f aca="0">SUM(F327*I327)</x:f>
        <x:v>0</x:v>
      </x:c>
      <x:c r="K327" s="11" t="n">
        <x:f aca="0">SUM(H327*J327)</x:f>
        <x:v>0</x:v>
      </x:c>
      <x:c r="L327" s="11"/>
      <x:c r="M327" s="11" t="n">
        <x:f aca="0">SUM(C327)</x:f>
        <x:v>0</x:v>
      </x:c>
      <x:c r="N327" s="11" t="n">
        <x:f aca="0">SUM(B327-1)</x:f>
        <x:v>-1</x:v>
      </x:c>
      <x:c r="O327" s="11" t="n">
        <x:f aca="0">SUM(F327*1)</x:f>
        <x:v>0</x:v>
      </x:c>
      <x:c r="P327" s="11"/>
      <x:c r="Q327" s="11" t="str">
        <x:f aca="0">A327</x:f>
        <x:v>中立板</x:v>
      </x:c>
      <x:c r="R327" s="1" t="n">
        <x:f aca="0">SUM(C327*1)*F327</x:f>
        <x:v>0</x:v>
      </x:c>
      <x:c r="T327"/>
    </x:row>
    <x:row r="328" ht="22.200000762939453" hidden="0">
      <x:c r="A328" s="10" t="s">
        <x:v>21</x:v>
      </x:c>
      <x:c r="B328" s="10"/>
      <x:c r="C328" s="10"/>
      <x:c r="D328" s="10" t="n">
        <x:v>18</x:v>
      </x:c>
      <x:c r="E328" s="10"/>
      <x:c r="F328" s="10"/>
      <x:c r="G328" s="10"/>
      <x:c r="H328" s="10" t="n">
        <x:v>69</x:v>
      </x:c>
      <x:c r="I328" s="11" t="n">
        <x:f aca="0">ROUND((IF((B328*C328)/90000&lt;1,1))+IF((B328*C328)/90000&gt;=1,(B328*C328)/90000),1.1)</x:f>
        <x:v>1</x:v>
      </x:c>
      <x:c r="J328" s="11" t="n">
        <x:f aca="0">SUM(F328*I328)</x:f>
        <x:v>0</x:v>
      </x:c>
      <x:c r="K328" s="11" t="n">
        <x:f aca="0">SUM(H328*J328)</x:f>
        <x:v>0</x:v>
      </x:c>
      <x:c r="L328" s="11"/>
      <x:c r="M328" s="11" t="n">
        <x:f aca="0">SUM(C328)</x:f>
        <x:v>0</x:v>
      </x:c>
      <x:c r="N328" s="11" t="n">
        <x:f aca="0">SUM(B328-1)</x:f>
        <x:v>-1</x:v>
      </x:c>
      <x:c r="O328" s="11" t="n">
        <x:f aca="0">SUM(F328*1)</x:f>
        <x:v>0</x:v>
      </x:c>
      <x:c r="P328" s="11"/>
      <x:c r="Q328" s="11" t="str">
        <x:f aca="0">A328</x:f>
        <x:v>固格板</x:v>
      </x:c>
      <x:c r="R328" s="1" t="n">
        <x:f aca="0">SUM(C328*1)*F328</x:f>
        <x:v>0</x:v>
      </x:c>
      <x:c r="T328"/>
    </x:row>
    <x:row r="329" ht="22.200000762939453" hidden="0">
      <x:c r="A329" s="10" t="s">
        <x:v>21</x:v>
      </x:c>
      <x:c r="B329" s="10"/>
      <x:c r="C329" s="10"/>
      <x:c r="D329" s="10" t="n">
        <x:v>18</x:v>
      </x:c>
      <x:c r="E329" s="10"/>
      <x:c r="F329" s="10"/>
      <x:c r="G329" s="10"/>
      <x:c r="H329" s="10" t="n">
        <x:v>69</x:v>
      </x:c>
      <x:c r="I329" s="11" t="n">
        <x:f aca="0">ROUND((IF((B329*C329)/90000&lt;1,1))+IF((B329*C329)/90000&gt;=1,(B329*C329)/90000),1.1)</x:f>
        <x:v>1</x:v>
      </x:c>
      <x:c r="J329" s="11" t="n">
        <x:f aca="0">SUM(F329*I329)</x:f>
        <x:v>0</x:v>
      </x:c>
      <x:c r="K329" s="11" t="n">
        <x:f aca="0">SUM(H329*J329)</x:f>
        <x:v>0</x:v>
      </x:c>
      <x:c r="L329" s="11"/>
      <x:c r="M329" s="11" t="n">
        <x:f aca="0">SUM(C329)</x:f>
        <x:v>0</x:v>
      </x:c>
      <x:c r="N329" s="11" t="n">
        <x:f aca="0">SUM(B329-1)</x:f>
        <x:v>-1</x:v>
      </x:c>
      <x:c r="O329" s="11" t="n">
        <x:f aca="0">SUM(F329*1)</x:f>
        <x:v>0</x:v>
      </x:c>
      <x:c r="P329" s="11"/>
      <x:c r="Q329" s="11" t="str">
        <x:f aca="0">A329</x:f>
        <x:v>固格板</x:v>
      </x:c>
      <x:c r="R329" s="1" t="n">
        <x:f aca="0">SUM(C329*1)*F329</x:f>
        <x:v>0</x:v>
      </x:c>
      <x:c r="T329"/>
    </x:row>
    <x:row r="330" ht="22.200000762939453" hidden="0">
      <x:c r="A330" s="10" t="s">
        <x:v>21</x:v>
      </x:c>
      <x:c r="B330" s="10"/>
      <x:c r="C330" s="10"/>
      <x:c r="D330" s="10" t="n">
        <x:v>18</x:v>
      </x:c>
      <x:c r="E330" s="10"/>
      <x:c r="F330" s="10"/>
      <x:c r="G330" s="10"/>
      <x:c r="H330" s="10" t="n">
        <x:v>69</x:v>
      </x:c>
      <x:c r="I330" s="11" t="n">
        <x:f aca="0">ROUND((IF((B330*C330)/90000&lt;1,1))+IF((B330*C330)/90000&gt;=1,(B330*C330)/90000),1.1)</x:f>
        <x:v>1</x:v>
      </x:c>
      <x:c r="J330" s="11" t="n">
        <x:f aca="0">SUM(F330*I330)</x:f>
        <x:v>0</x:v>
      </x:c>
      <x:c r="K330" s="11" t="n">
        <x:f aca="0">SUM(H330*J330)</x:f>
        <x:v>0</x:v>
      </x:c>
      <x:c r="L330" s="11"/>
      <x:c r="M330" s="11" t="n">
        <x:f aca="0">SUM(C330)</x:f>
        <x:v>0</x:v>
      </x:c>
      <x:c r="N330" s="11" t="n">
        <x:f aca="0">SUM(B330-1)</x:f>
        <x:v>-1</x:v>
      </x:c>
      <x:c r="O330" s="11" t="n">
        <x:f aca="0">SUM(F330*1)</x:f>
        <x:v>0</x:v>
      </x:c>
      <x:c r="P330" s="11"/>
      <x:c r="Q330" s="11" t="str">
        <x:f aca="0">A330</x:f>
        <x:v>固格板</x:v>
      </x:c>
      <x:c r="R330" s="1" t="n">
        <x:f aca="0">SUM(C330*1)*F330</x:f>
        <x:v>0</x:v>
      </x:c>
      <x:c r="T330"/>
    </x:row>
    <x:row r="331" ht="22.200000762939453" hidden="0">
      <x:c r="A331" s="10" t="s">
        <x:v>22</x:v>
      </x:c>
      <x:c r="B331" s="10"/>
      <x:c r="C331" s="10"/>
      <x:c r="D331" s="10" t="n">
        <x:v>18</x:v>
      </x:c>
      <x:c r="E331" s="10"/>
      <x:c r="F331" s="10"/>
      <x:c r="G331" s="10"/>
      <x:c r="H331" s="10" t="n">
        <x:v>69</x:v>
      </x:c>
      <x:c r="I331" s="11" t="n">
        <x:f aca="0">ROUND((IF((B331*C331)/90000&lt;1,1))+IF((B331*C331)/90000&gt;=1,(B331*C331)/90000),1.1)</x:f>
        <x:v>1</x:v>
      </x:c>
      <x:c r="J331" s="11" t="n">
        <x:f aca="0">SUM(F331*I331)</x:f>
        <x:v>0</x:v>
      </x:c>
      <x:c r="K331" s="11" t="n">
        <x:f aca="0">SUM(H331*J331)</x:f>
        <x:v>0</x:v>
      </x:c>
      <x:c r="L331" s="11"/>
      <x:c r="M331" s="11" t="n">
        <x:f aca="0">SUM(C331-1)</x:f>
        <x:v>-1</x:v>
      </x:c>
      <x:c r="N331" s="11" t="n">
        <x:f aca="0">SUM(B331-1)</x:f>
        <x:v>-1</x:v>
      </x:c>
      <x:c r="O331" s="11" t="n">
        <x:f aca="0">SUM(F331*1)</x:f>
        <x:v>0</x:v>
      </x:c>
      <x:c r="P331" s="11"/>
      <x:c r="Q331" s="11" t="str">
        <x:f aca="0">A331</x:f>
        <x:v>活格板</x:v>
      </x:c>
      <x:c r="R331" s="1" t="n">
        <x:f aca="0">SUM(B331*2+C331*2)*F331</x:f>
        <x:v>0</x:v>
      </x:c>
      <x:c r="T331"/>
    </x:row>
    <x:row r="332" ht="22.200000762939453" hidden="0">
      <x:c r="A332" s="10" t="s">
        <x:v>22</x:v>
      </x:c>
      <x:c r="B332" s="10"/>
      <x:c r="C332" s="10"/>
      <x:c r="D332" s="10" t="n">
        <x:v>18</x:v>
      </x:c>
      <x:c r="E332" s="10"/>
      <x:c r="F332" s="10"/>
      <x:c r="G332" s="10"/>
      <x:c r="H332" s="10" t="n">
        <x:v>69</x:v>
      </x:c>
      <x:c r="I332" s="11" t="n">
        <x:f aca="0">ROUND((IF((B332*C332)/90000&lt;1,1))+IF((B332*C332)/90000&gt;=1,(B332*C332)/90000),1.1)</x:f>
        <x:v>1</x:v>
      </x:c>
      <x:c r="J332" s="11" t="n">
        <x:f aca="0">SUM(F332*I332)</x:f>
        <x:v>0</x:v>
      </x:c>
      <x:c r="K332" s="11" t="n">
        <x:f aca="0">SUM(H332*J332)</x:f>
        <x:v>0</x:v>
      </x:c>
      <x:c r="L332" s="11"/>
      <x:c r="M332" s="11" t="n">
        <x:f aca="0">SUM(C332-1)</x:f>
        <x:v>-1</x:v>
      </x:c>
      <x:c r="N332" s="11" t="n">
        <x:f aca="0">SUM(B332-1)</x:f>
        <x:v>-1</x:v>
      </x:c>
      <x:c r="O332" s="11" t="n">
        <x:f aca="0">SUM(F332*1)</x:f>
        <x:v>0</x:v>
      </x:c>
      <x:c r="P332" s="11"/>
      <x:c r="Q332" s="11" t="str">
        <x:f aca="0">A332</x:f>
        <x:v>活格板</x:v>
      </x:c>
      <x:c r="R332" s="1" t="n">
        <x:f aca="0">SUM(B332*2+C332*2)*F332</x:f>
        <x:v>0</x:v>
      </x:c>
      <x:c r="T332"/>
    </x:row>
    <x:row r="333" ht="22.200000762939453" hidden="0">
      <x:c r="A333" s="10" t="s">
        <x:v>22</x:v>
      </x:c>
      <x:c r="B333" s="10"/>
      <x:c r="C333" s="10"/>
      <x:c r="D333" s="10" t="n">
        <x:v>18</x:v>
      </x:c>
      <x:c r="E333" s="10"/>
      <x:c r="F333" s="10"/>
      <x:c r="G333" s="10"/>
      <x:c r="H333" s="10" t="n">
        <x:v>69</x:v>
      </x:c>
      <x:c r="I333" s="11" t="n">
        <x:f aca="0">ROUND((IF((B333*C333)/90000&lt;1,1))+IF((B333*C333)/90000&gt;=1,(B333*C333)/90000),1.1)</x:f>
        <x:v>1</x:v>
      </x:c>
      <x:c r="J333" s="11" t="n">
        <x:f aca="0">SUM(F333*I333)</x:f>
        <x:v>0</x:v>
      </x:c>
      <x:c r="K333" s="11" t="n">
        <x:f aca="0">SUM(H333*J333)</x:f>
        <x:v>0</x:v>
      </x:c>
      <x:c r="L333" s="11"/>
      <x:c r="M333" s="11" t="n">
        <x:f aca="0">SUM(C333-1)</x:f>
        <x:v>-1</x:v>
      </x:c>
      <x:c r="N333" s="11" t="n">
        <x:f aca="0">SUM(B333-1)</x:f>
        <x:v>-1</x:v>
      </x:c>
      <x:c r="O333" s="11" t="n">
        <x:f aca="0">SUM(F333*1)</x:f>
        <x:v>0</x:v>
      </x:c>
      <x:c r="P333" s="11"/>
      <x:c r="Q333" s="11" t="str">
        <x:f aca="0">A333</x:f>
        <x:v>活格板</x:v>
      </x:c>
      <x:c r="R333" s="1" t="n">
        <x:f aca="0">SUM(B333*2+C333*2)*F333</x:f>
        <x:v>0</x:v>
      </x:c>
      <x:c r="T333"/>
    </x:row>
    <x:row r="334" ht="22.200000762939453" hidden="0">
      <x:c r="A334" s="10" t="s">
        <x:v>22</x:v>
      </x:c>
      <x:c r="B334" s="10"/>
      <x:c r="C334" s="10"/>
      <x:c r="D334" s="10" t="n">
        <x:v>18</x:v>
      </x:c>
      <x:c r="E334" s="10"/>
      <x:c r="F334" s="10"/>
      <x:c r="G334" s="10"/>
      <x:c r="H334" s="10" t="n">
        <x:v>69</x:v>
      </x:c>
      <x:c r="I334" s="11" t="n">
        <x:f aca="0">ROUND((IF((B334*C334)/90000&lt;1,1))+IF((B334*C334)/90000&gt;=1,(B334*C334)/90000),1.1)</x:f>
        <x:v>1</x:v>
      </x:c>
      <x:c r="J334" s="11" t="n">
        <x:f aca="0">SUM(F334*I334)</x:f>
        <x:v>0</x:v>
      </x:c>
      <x:c r="K334" s="11" t="n">
        <x:f aca="0">SUM(H334*J334)</x:f>
        <x:v>0</x:v>
      </x:c>
      <x:c r="L334" s="11"/>
      <x:c r="M334" s="11" t="n">
        <x:f aca="0">SUM(C334-1)</x:f>
        <x:v>-1</x:v>
      </x:c>
      <x:c r="N334" s="11" t="n">
        <x:f aca="0">SUM(B334-1)</x:f>
        <x:v>-1</x:v>
      </x:c>
      <x:c r="O334" s="11" t="n">
        <x:f aca="0">SUM(F334*1)</x:f>
        <x:v>0</x:v>
      </x:c>
      <x:c r="P334" s="11"/>
      <x:c r="Q334" s="11" t="str">
        <x:f aca="0">A334</x:f>
        <x:v>活格板</x:v>
      </x:c>
      <x:c r="R334" s="1" t="n">
        <x:f aca="0">SUM(B334*2+C334*2)*F334</x:f>
        <x:v>0</x:v>
      </x:c>
      <x:c r="T334"/>
    </x:row>
    <x:row r="335" ht="22.200000762939453" hidden="0">
      <x:c r="A335" s="10" t="s">
        <x:v>23</x:v>
      </x:c>
      <x:c r="B335" s="10"/>
      <x:c r="C335" s="10"/>
      <x:c r="D335" s="10" t="n">
        <x:v>18</x:v>
      </x:c>
      <x:c r="E335" s="10"/>
      <x:c r="F335" s="10"/>
      <x:c r="G335" s="10"/>
      <x:c r="H335" s="10" t="n">
        <x:v>69</x:v>
      </x:c>
      <x:c r="I335" s="11" t="n">
        <x:f aca="0">ROUND((IF((B335*C335)/90000&lt;1,1))+IF((B335*C335)/90000&gt;=1,(B335*C335)/90000),1.1)</x:f>
        <x:v>1</x:v>
      </x:c>
      <x:c r="J335" s="11" t="n">
        <x:f aca="0">SUM(F335*I335)</x:f>
        <x:v>0</x:v>
      </x:c>
      <x:c r="K335" s="11" t="n">
        <x:f aca="0">SUM(H335*J335)</x:f>
        <x:v>0</x:v>
      </x:c>
      <x:c r="L335" s="11"/>
      <x:c r="M335" s="11" t="n">
        <x:f aca="0">SUM(C335-1)</x:f>
        <x:v>-1</x:v>
      </x:c>
      <x:c r="N335" s="11" t="n">
        <x:f aca="0">SUM(B335-1)</x:f>
        <x:v>-1</x:v>
      </x:c>
      <x:c r="O335" s="11" t="n">
        <x:f aca="0">SUM(F335*1)</x:f>
        <x:v>0</x:v>
      </x:c>
      <x:c r="P335" s="11"/>
      <x:c r="Q335" s="11" t="str">
        <x:f aca="0">A335</x:f>
        <x:v>抽框</x:v>
      </x:c>
      <x:c r="R335" s="1" t="n">
        <x:f aca="0">SUM(B335*2+C335*2)*F335</x:f>
        <x:v>0</x:v>
      </x:c>
      <x:c r="T335"/>
    </x:row>
    <x:row r="336" ht="22.200000762939453" hidden="0">
      <x:c r="A336" s="10" t="s">
        <x:v>24</x:v>
      </x:c>
      <x:c r="B336" s="10"/>
      <x:c r="C336" s="10"/>
      <x:c r="D336" s="10" t="n">
        <x:v>18</x:v>
      </x:c>
      <x:c r="E336" s="10"/>
      <x:c r="F336" s="10"/>
      <x:c r="G336" s="10"/>
      <x:c r="H336" s="10" t="n">
        <x:v>69</x:v>
      </x:c>
      <x:c r="I336" s="11" t="n">
        <x:f aca="0">ROUND((IF((B336*C336)/90000&lt;1,1))+IF((B336*C336)/90000&gt;=1,(B336*C336)/90000),1.1)</x:f>
        <x:v>1</x:v>
      </x:c>
      <x:c r="J336" s="11" t="n">
        <x:f aca="0">SUM(F336*I336)</x:f>
        <x:v>0</x:v>
      </x:c>
      <x:c r="K336" s="11" t="n">
        <x:f aca="0">SUM(H336*J336)</x:f>
        <x:v>0</x:v>
      </x:c>
      <x:c r="L336" s="11"/>
      <x:c r="M336" s="11" t="n">
        <x:f aca="0">SUM(C336-1)</x:f>
        <x:v>-1</x:v>
      </x:c>
      <x:c r="N336" s="11" t="n">
        <x:f aca="0">SUM(B336-1)</x:f>
        <x:v>-1</x:v>
      </x:c>
      <x:c r="O336" s="11" t="n">
        <x:f aca="0">SUM(F336*1)</x:f>
        <x:v>0</x:v>
      </x:c>
      <x:c r="P336" s="11"/>
      <x:c r="Q336" s="11" t="str">
        <x:f aca="0">A336</x:f>
        <x:v>框中立</x:v>
      </x:c>
      <x:c r="R336" s="1" t="n">
        <x:f aca="0">SUM(B336*2+C336*2)*F336</x:f>
        <x:v>0</x:v>
      </x:c>
      <x:c r="T336"/>
    </x:row>
    <x:row r="337" ht="22.200000762939453" hidden="0">
      <x:c r="A337" s="10" t="s">
        <x:v>25</x:v>
      </x:c>
      <x:c r="B337" s="10"/>
      <x:c r="C337" s="10"/>
      <x:c r="D337" s="10" t="n">
        <x:v>18</x:v>
      </x:c>
      <x:c r="E337" s="10"/>
      <x:c r="F337" s="10"/>
      <x:c r="G337" s="10"/>
      <x:c r="H337" s="10" t="n">
        <x:v>69</x:v>
      </x:c>
      <x:c r="I337" s="11" t="n">
        <x:f aca="0">ROUND((IF((B337*C337)/90000&lt;1,1))+IF((B337*C337)/90000&gt;=1,(B337*C337)/90000),1.1)</x:f>
        <x:v>1</x:v>
      </x:c>
      <x:c r="J337" s="11" t="n">
        <x:f aca="0">SUM(F337*I337)</x:f>
        <x:v>0</x:v>
      </x:c>
      <x:c r="K337" s="11" t="n">
        <x:f aca="0">SUM(H337*J337)</x:f>
        <x:v>0</x:v>
      </x:c>
      <x:c r="L337" s="11"/>
      <x:c r="M337" s="11" t="n">
        <x:f aca="0">SUM(C337)</x:f>
        <x:v>0</x:v>
      </x:c>
      <x:c r="N337" s="11" t="n">
        <x:f aca="0">SUM(B337-1)</x:f>
        <x:v>-1</x:v>
      </x:c>
      <x:c r="O337" s="11" t="n">
        <x:f aca="0">SUM(F337*1)</x:f>
        <x:v>0</x:v>
      </x:c>
      <x:c r="P337" s="11"/>
      <x:c r="Q337" s="11" t="str">
        <x:f aca="0">A337</x:f>
        <x:v>橫木</x:v>
      </x:c>
      <x:c r="R337" s="1" t="n">
        <x:f aca="0">SUM(C337*2)*F337</x:f>
        <x:v>0</x:v>
      </x:c>
      <x:c r="T337"/>
    </x:row>
    <x:row r="338" ht="22.200000762939453" hidden="0">
      <x:c r="A338" s="10" t="s">
        <x:v>26</x:v>
      </x:c>
      <x:c r="B338" s="10"/>
      <x:c r="C338" s="10"/>
      <x:c r="D338" s="10" t="n">
        <x:v>18</x:v>
      </x:c>
      <x:c r="E338" s="10"/>
      <x:c r="F338" s="10"/>
      <x:c r="G338" s="10"/>
      <x:c r="H338" s="10" t="n">
        <x:v>69</x:v>
      </x:c>
      <x:c r="I338" s="11" t="n">
        <x:f aca="0">ROUND((IF((B338*C338)/90000&lt;1,1))+IF((B338*C338)/90000&gt;=1,(B338*C338)/90000),1.1)</x:f>
        <x:v>1</x:v>
      </x:c>
      <x:c r="J338" s="11" t="n">
        <x:f aca="0">SUM(F338*I338)</x:f>
        <x:v>0</x:v>
      </x:c>
      <x:c r="K338" s="11" t="n">
        <x:f aca="0">SUM(H338*J338)</x:f>
        <x:v>0</x:v>
      </x:c>
      <x:c r="L338" s="11"/>
      <x:c r="M338" s="11" t="n">
        <x:f aca="0">SUM(C338)</x:f>
        <x:v>0</x:v>
      </x:c>
      <x:c r="N338" s="11" t="n">
        <x:f aca="0">SUM(B338-1)</x:f>
        <x:v>-1</x:v>
      </x:c>
      <x:c r="O338" s="11" t="n">
        <x:f aca="0">SUM(F338*1)</x:f>
        <x:v>0</x:v>
      </x:c>
      <x:c r="P338" s="11"/>
      <x:c r="Q338" s="11" t="str">
        <x:f aca="0">A338</x:f>
        <x:v>前抽牆</x:v>
      </x:c>
      <x:c r="R338" s="1" t="n">
        <x:f aca="0">SUM(C338*2)*F338</x:f>
        <x:v>0</x:v>
      </x:c>
      <x:c r="T338"/>
    </x:row>
    <x:row r="339" ht="22.200000762939453" hidden="0">
      <x:c r="A339" s="10" t="s">
        <x:v>26</x:v>
      </x:c>
      <x:c r="B339" s="10"/>
      <x:c r="C339" s="10"/>
      <x:c r="D339" s="10" t="n">
        <x:v>18</x:v>
      </x:c>
      <x:c r="E339" s="10"/>
      <x:c r="F339" s="10"/>
      <x:c r="G339" s="10"/>
      <x:c r="H339" s="10" t="n">
        <x:v>69</x:v>
      </x:c>
      <x:c r="I339" s="11" t="n">
        <x:f aca="0">ROUND((IF((B339*C339)/90000&lt;1,1))+IF((B339*C339)/90000&gt;=1,(B339*C339)/90000),1.1)</x:f>
        <x:v>1</x:v>
      </x:c>
      <x:c r="J339" s="11" t="n">
        <x:f aca="0">SUM(F339*I339)</x:f>
        <x:v>0</x:v>
      </x:c>
      <x:c r="K339" s="11" t="n">
        <x:f aca="0">SUM(H339*J339)</x:f>
        <x:v>0</x:v>
      </x:c>
      <x:c r="L339" s="11"/>
      <x:c r="M339" s="11" t="n">
        <x:f aca="0">SUM(C339)</x:f>
        <x:v>0</x:v>
      </x:c>
      <x:c r="N339" s="11" t="n">
        <x:f aca="0">SUM(B339-1)</x:f>
        <x:v>-1</x:v>
      </x:c>
      <x:c r="O339" s="11" t="n">
        <x:f aca="0">SUM(F339*1)</x:f>
        <x:v>0</x:v>
      </x:c>
      <x:c r="P339" s="11"/>
      <x:c r="Q339" s="11" t="str">
        <x:f aca="0">A339</x:f>
        <x:v>前抽牆</x:v>
      </x:c>
      <x:c r="R339" s="1" t="n">
        <x:f aca="0">SUM(C339*2)*F339</x:f>
        <x:v>0</x:v>
      </x:c>
      <x:c r="T339"/>
    </x:row>
    <x:row r="340" ht="22.200000762939453" hidden="0">
      <x:c r="A340" s="10" t="s">
        <x:v>27</x:v>
      </x:c>
      <x:c r="B340" s="10"/>
      <x:c r="C340" s="10"/>
      <x:c r="D340" s="10" t="n">
        <x:v>18</x:v>
      </x:c>
      <x:c r="E340" s="10"/>
      <x:c r="F340" s="10"/>
      <x:c r="G340" s="10"/>
      <x:c r="H340" s="10" t="n">
        <x:v>69</x:v>
      </x:c>
      <x:c r="I340" s="11" t="n">
        <x:f aca="0">ROUND((IF((B340*C340)/90000&lt;1,1))+IF((B340*C340)/90000&gt;=1,(B340*C340)/90000),1.1)</x:f>
        <x:v>1</x:v>
      </x:c>
      <x:c r="J340" s="11" t="n">
        <x:f aca="0">SUM(F340*I340)</x:f>
        <x:v>0</x:v>
      </x:c>
      <x:c r="K340" s="11" t="n">
        <x:f aca="0">SUM(H340*J340)</x:f>
        <x:v>0</x:v>
      </x:c>
      <x:c r="L340" s="11"/>
      <x:c r="M340" s="11" t="n">
        <x:f aca="0">SUM(C340)</x:f>
        <x:v>0</x:v>
      </x:c>
      <x:c r="N340" s="11" t="n">
        <x:f aca="0">SUM(B340-1)</x:f>
        <x:v>-1</x:v>
      </x:c>
      <x:c r="O340" s="11" t="n">
        <x:f aca="0">SUM(F340*1)</x:f>
        <x:v>0</x:v>
      </x:c>
      <x:c r="P340" s="11"/>
      <x:c r="Q340" s="11" t="str">
        <x:f aca="0">A340</x:f>
        <x:v>邊抽牆</x:v>
      </x:c>
      <x:c r="R340" s="1" t="n">
        <x:f aca="0">SUM(C340*2)*F340</x:f>
        <x:v>0</x:v>
      </x:c>
      <x:c r="T340"/>
    </x:row>
    <x:row r="341" ht="22.200000762939453" hidden="0">
      <x:c r="A341" s="10" t="s">
        <x:v>27</x:v>
      </x:c>
      <x:c r="B341" s="10"/>
      <x:c r="C341" s="10"/>
      <x:c r="D341" s="10" t="n">
        <x:v>18</x:v>
      </x:c>
      <x:c r="E341" s="10"/>
      <x:c r="F341" s="10"/>
      <x:c r="G341" s="10"/>
      <x:c r="H341" s="10" t="n">
        <x:v>69</x:v>
      </x:c>
      <x:c r="I341" s="11" t="n">
        <x:f aca="0">ROUND((IF((B341*C341)/90000&lt;1,1))+IF((B341*C341)/90000&gt;=1,(B341*C341)/90000),1.1)</x:f>
        <x:v>1</x:v>
      </x:c>
      <x:c r="J341" s="11" t="n">
        <x:f aca="0">SUM(F341*I341)</x:f>
        <x:v>0</x:v>
      </x:c>
      <x:c r="K341" s="11" t="n">
        <x:f aca="0">SUM(H341*J341)</x:f>
        <x:v>0</x:v>
      </x:c>
      <x:c r="L341" s="11"/>
      <x:c r="M341" s="11" t="n">
        <x:f aca="0">SUM(C341)</x:f>
        <x:v>0</x:v>
      </x:c>
      <x:c r="N341" s="11" t="n">
        <x:f aca="0">SUM(B341-1)</x:f>
        <x:v>-1</x:v>
      </x:c>
      <x:c r="O341" s="11" t="n">
        <x:f aca="0">SUM(F341*1)</x:f>
        <x:v>0</x:v>
      </x:c>
      <x:c r="P341" s="11"/>
      <x:c r="Q341" s="11" t="str">
        <x:f aca="0">A341</x:f>
        <x:v>邊抽牆</x:v>
      </x:c>
      <x:c r="R341" s="1" t="n">
        <x:f aca="0">SUM(C341*2)*F341</x:f>
        <x:v>0</x:v>
      </x:c>
      <x:c r="T341"/>
    </x:row>
    <x:row r="342" ht="22.200000762939453" hidden="0">
      <x:c r="A342" s="10" t="s">
        <x:v>28</x:v>
      </x:c>
      <x:c r="B342" s="10"/>
      <x:c r="C342" s="10"/>
      <x:c r="D342" s="10" t="n">
        <x:v>8</x:v>
      </x:c>
      <x:c r="E342" s="10"/>
      <x:c r="F342" s="10"/>
      <x:c r="G342" s="10"/>
      <x:c r="H342" s="10" t="n">
        <x:v>50</x:v>
      </x:c>
      <x:c r="I342" s="11" t="n">
        <x:f aca="0">ROUND((IF((B342*C342)/90000&lt;1,1))+IF((B342*C342)/90000&gt;=1,(B342*C342)/90000),1.1)</x:f>
        <x:v>1</x:v>
      </x:c>
      <x:c r="J342" s="11" t="n">
        <x:f aca="0">SUM(F342*I342)</x:f>
        <x:v>0</x:v>
      </x:c>
      <x:c r="K342" s="11" t="n">
        <x:f aca="0">SUM(H342*J342)</x:f>
        <x:v>0</x:v>
      </x:c>
      <x:c r="L342" s="11"/>
      <x:c r="M342" s="11" t="n">
        <x:f aca="0">SUM(C342)</x:f>
        <x:v>0</x:v>
      </x:c>
      <x:c r="N342" s="11" t="n">
        <x:f aca="0">SUM(B342)</x:f>
        <x:v>0</x:v>
      </x:c>
      <x:c r="O342" s="11" t="n">
        <x:f aca="0">SUM(F342*1)</x:f>
        <x:v>0</x:v>
      </x:c>
      <x:c r="P342" s="11"/>
      <x:c r="Q342" s="11" t="str">
        <x:f aca="0">A342</x:f>
        <x:v>抽底板</x:v>
      </x:c>
      <x:c r="T342"/>
    </x:row>
    <x:row r="343" ht="22.200000762939453" hidden="0">
      <x:c r="A343" s="10" t="s">
        <x:v>28</x:v>
      </x:c>
      <x:c r="B343" s="10"/>
      <x:c r="C343" s="10"/>
      <x:c r="D343" s="10" t="n">
        <x:v>8</x:v>
      </x:c>
      <x:c r="E343" s="10"/>
      <x:c r="F343" s="10"/>
      <x:c r="G343" s="10"/>
      <x:c r="H343" s="10" t="n">
        <x:v>50</x:v>
      </x:c>
      <x:c r="I343" s="11" t="n">
        <x:f aca="0">ROUND((IF((B343*C343)/90000&lt;1,1))+IF((B343*C343)/90000&gt;=1,(B343*C343)/90000),1.1)</x:f>
        <x:v>1</x:v>
      </x:c>
      <x:c r="J343" s="11" t="n">
        <x:f aca="0">SUM(F343*I343)</x:f>
        <x:v>0</x:v>
      </x:c>
      <x:c r="K343" s="11" t="n">
        <x:f aca="0">SUM(H343*J343)</x:f>
        <x:v>0</x:v>
      </x:c>
      <x:c r="L343" s="11"/>
      <x:c r="M343" s="11" t="n">
        <x:f aca="0">SUM(C343)</x:f>
        <x:v>0</x:v>
      </x:c>
      <x:c r="N343" s="11" t="n">
        <x:f aca="0">SUM(B343)</x:f>
        <x:v>0</x:v>
      </x:c>
      <x:c r="O343" s="11" t="n">
        <x:f aca="0">SUM(F343*1)</x:f>
        <x:v>0</x:v>
      </x:c>
      <x:c r="P343" s="11"/>
      <x:c r="Q343" s="11" t="str">
        <x:f aca="0">A343</x:f>
        <x:v>抽底板</x:v>
      </x:c>
      <x:c r="T343"/>
    </x:row>
    <x:row r="344" ht="22.200000762939453" hidden="0">
      <x:c r="A344" s="12" t="s">
        <x:v>64</x:v>
      </x:c>
      <x:c r="B344" s="10"/>
      <x:c r="C344" s="10"/>
      <x:c r="D344" s="10" t="n">
        <x:v>18</x:v>
      </x:c>
      <x:c r="E344" s="10"/>
      <x:c r="F344" s="10"/>
      <x:c r="G344" s="10"/>
      <x:c r="H344" s="10" t="n">
        <x:v>84</x:v>
      </x:c>
      <x:c r="I344" s="11" t="n">
        <x:f aca="0">ROUND((IF((B344*C344)/90000&lt;1,1))+IF((B344*C344)/90000&gt;=1,(B344*C344)/90000),1.1)</x:f>
        <x:v>1</x:v>
      </x:c>
      <x:c r="J344" s="11" t="n">
        <x:f aca="0">SUM(F344*I344)</x:f>
        <x:v>0</x:v>
      </x:c>
      <x:c r="K344" s="11" t="n">
        <x:f aca="0">SUM(H344*J344)</x:f>
        <x:v>0</x:v>
      </x:c>
      <x:c r="L344" s="11"/>
      <x:c r="M344" s="11" t="n">
        <x:f aca="0">SUM(C344-2)</x:f>
        <x:v>-2</x:v>
      </x:c>
      <x:c r="N344" s="11" t="n">
        <x:f aca="0">SUM(B344-2)</x:f>
        <x:v>-2</x:v>
      </x:c>
      <x:c r="O344" s="11" t="n">
        <x:f aca="0">SUM(F344*1)</x:f>
        <x:v>0</x:v>
      </x:c>
      <x:c r="P344" s="11"/>
      <x:c r="Q344" s="11" t="str">
        <x:f aca="0">A344</x:f>
        <x:v>4E門板</x:v>
      </x:c>
      <x:c r="S344" s="1" t="n">
        <x:f aca="0">SUM(B344*2+C344*2)*F344</x:f>
        <x:v>0</x:v>
      </x:c>
      <x:c r="T344"/>
    </x:row>
    <x:row r="345" ht="22.200000762939453" hidden="0">
      <x:c r="A345" s="12" t="s">
        <x:v>64</x:v>
      </x:c>
      <x:c r="B345" s="10"/>
      <x:c r="C345" s="10"/>
      <x:c r="D345" s="10" t="n">
        <x:v>18</x:v>
      </x:c>
      <x:c r="E345" s="10"/>
      <x:c r="F345" s="10"/>
      <x:c r="G345" s="10"/>
      <x:c r="H345" s="10" t="n">
        <x:v>84</x:v>
      </x:c>
      <x:c r="I345" s="11" t="n">
        <x:f aca="0">ROUND((IF((B345*C345)/90000&lt;1,1))+IF((B345*C345)/90000&gt;=1,(B345*C345)/90000),1.1)</x:f>
        <x:v>1</x:v>
      </x:c>
      <x:c r="J345" s="11" t="n">
        <x:f aca="0">SUM(F345*I345)</x:f>
        <x:v>0</x:v>
      </x:c>
      <x:c r="K345" s="11" t="n">
        <x:f aca="0">SUM(H345*J345)</x:f>
        <x:v>0</x:v>
      </x:c>
      <x:c r="L345" s="11"/>
      <x:c r="M345" s="11" t="n">
        <x:f aca="0">SUM(C345-2)</x:f>
        <x:v>-2</x:v>
      </x:c>
      <x:c r="N345" s="11" t="n">
        <x:f aca="0">SUM(B345-2)</x:f>
        <x:v>-2</x:v>
      </x:c>
      <x:c r="O345" s="11" t="n">
        <x:f aca="0">SUM(F345*1)</x:f>
        <x:v>0</x:v>
      </x:c>
      <x:c r="P345" s="11"/>
      <x:c r="Q345" s="11" t="str">
        <x:f aca="0">A345</x:f>
        <x:v>4E門板</x:v>
      </x:c>
      <x:c r="S345" s="1" t="n">
        <x:f aca="0">SUM(B345*2+C345*2)*F345</x:f>
        <x:v>0</x:v>
      </x:c>
      <x:c r="T345"/>
    </x:row>
    <x:row r="346" ht="22.200000762939453" hidden="0">
      <x:c r="A346" s="12" t="s">
        <x:v>64</x:v>
      </x:c>
      <x:c r="B346" s="10"/>
      <x:c r="C346" s="10"/>
      <x:c r="D346" s="10" t="n">
        <x:v>18</x:v>
      </x:c>
      <x:c r="E346" s="10"/>
      <x:c r="F346" s="10"/>
      <x:c r="G346" s="10"/>
      <x:c r="H346" s="10" t="n">
        <x:v>84</x:v>
      </x:c>
      <x:c r="I346" s="11" t="n">
        <x:f aca="0">ROUND((IF((B346*C346)/90000&lt;1,1))+IF((B346*C346)/90000&gt;=1,(B346*C346)/90000),1.1)</x:f>
        <x:v>1</x:v>
      </x:c>
      <x:c r="J346" s="11" t="n">
        <x:f aca="0">SUM(F346*I346)</x:f>
        <x:v>0</x:v>
      </x:c>
      <x:c r="K346" s="11" t="n">
        <x:f aca="0">SUM(H346*J346)</x:f>
        <x:v>0</x:v>
      </x:c>
      <x:c r="L346" s="11"/>
      <x:c r="M346" s="11" t="n">
        <x:f aca="0">SUM(C346-2)</x:f>
        <x:v>-2</x:v>
      </x:c>
      <x:c r="N346" s="11" t="n">
        <x:f aca="0">SUM(B346-2)</x:f>
        <x:v>-2</x:v>
      </x:c>
      <x:c r="O346" s="11" t="n">
        <x:f aca="0">SUM(F346*1)</x:f>
        <x:v>0</x:v>
      </x:c>
      <x:c r="P346" s="11"/>
      <x:c r="Q346" s="11" t="str">
        <x:f aca="0">A346</x:f>
        <x:v>4E門板</x:v>
      </x:c>
      <x:c r="S346" s="1" t="n">
        <x:f aca="0">SUM(B346*2+C346*2)*F346</x:f>
        <x:v>0</x:v>
      </x:c>
      <x:c r="T346"/>
    </x:row>
    <x:row r="347" ht="22.200000762939453" hidden="0">
      <x:c r="A347" s="10" t="s">
        <x:v>30</x:v>
      </x:c>
      <x:c r="B347" s="10"/>
      <x:c r="C347" s="10"/>
      <x:c r="D347" s="10" t="n">
        <x:v>18</x:v>
      </x:c>
      <x:c r="E347" s="10"/>
      <x:c r="F347" s="10"/>
      <x:c r="G347" s="10"/>
      <x:c r="H347" s="10" t="n">
        <x:v>84</x:v>
      </x:c>
      <x:c r="I347" s="11" t="n">
        <x:f aca="0">ROUND((IF((B347*C347)/90000&lt;1,1))+IF((B347*C347)/90000&gt;=1,(B347*C347)/90000),1.1)</x:f>
        <x:v>1</x:v>
      </x:c>
      <x:c r="J347" s="11" t="n">
        <x:f aca="0">SUM(F347*I347)</x:f>
        <x:v>0</x:v>
      </x:c>
      <x:c r="K347" s="11" t="n">
        <x:f aca="0">SUM(H347*J347)</x:f>
        <x:v>0</x:v>
      </x:c>
      <x:c r="L347" s="11"/>
      <x:c r="M347" s="11" t="n">
        <x:f aca="0">SUM(C347-2)</x:f>
        <x:v>-2</x:v>
      </x:c>
      <x:c r="N347" s="11" t="n">
        <x:f aca="0">SUM(B347-2)</x:f>
        <x:v>-2</x:v>
      </x:c>
      <x:c r="O347" s="11" t="n">
        <x:f aca="0">SUM(F347*1)</x:f>
        <x:v>0</x:v>
      </x:c>
      <x:c r="P347" s="11"/>
      <x:c r="Q347" s="11" t="str">
        <x:f aca="0">A347</x:f>
        <x:v>假門板</x:v>
      </x:c>
      <x:c r="S347" s="1" t="n">
        <x:f aca="0">SUM(B347*2+C347*2)*F347</x:f>
        <x:v>0</x:v>
      </x:c>
      <x:c r="T347"/>
    </x:row>
    <x:row r="348" ht="22.200000762939453" hidden="0">
      <x:c r="A348" s="10" t="s">
        <x:v>31</x:v>
      </x:c>
      <x:c r="B348" s="10"/>
      <x:c r="C348" s="10"/>
      <x:c r="D348" s="10" t="n">
        <x:v>18</x:v>
      </x:c>
      <x:c r="E348" s="10"/>
      <x:c r="F348" s="10"/>
      <x:c r="G348" s="10"/>
      <x:c r="H348" s="10" t="n">
        <x:v>84</x:v>
      </x:c>
      <x:c r="I348" s="11" t="n">
        <x:f aca="0">ROUND((IF((B348*C348)/90000&lt;1,1))+IF((B348*C348)/90000&gt;=1,(B348*C348)/90000),1.1)</x:f>
        <x:v>1</x:v>
      </x:c>
      <x:c r="J348" s="11" t="n">
        <x:f aca="0">SUM(F348*I348)</x:f>
        <x:v>0</x:v>
      </x:c>
      <x:c r="K348" s="11" t="n">
        <x:f aca="0">SUM(H348*J348)</x:f>
        <x:v>0</x:v>
      </x:c>
      <x:c r="L348" s="11"/>
      <x:c r="M348" s="11" t="n">
        <x:f aca="0">SUM(C348-2)</x:f>
        <x:v>-2</x:v>
      </x:c>
      <x:c r="N348" s="11" t="n">
        <x:f aca="0">SUM(B348-2)</x:f>
        <x:v>-2</x:v>
      </x:c>
      <x:c r="O348" s="11" t="n">
        <x:f aca="0">SUM(F348*1)</x:f>
        <x:v>0</x:v>
      </x:c>
      <x:c r="P348" s="11"/>
      <x:c r="Q348" s="11" t="str">
        <x:f aca="0">A348</x:f>
        <x:v>屜頭</x:v>
      </x:c>
      <x:c r="S348" s="1" t="n">
        <x:f aca="0">SUM(B348*2+C348*2)*F348</x:f>
        <x:v>0</x:v>
      </x:c>
      <x:c r="T348"/>
    </x:row>
    <x:row r="349" ht="22.200000762939453" hidden="0">
      <x:c r="A349" s="10" t="s">
        <x:v>32</x:v>
      </x:c>
      <x:c r="B349" s="10"/>
      <x:c r="C349" s="10"/>
      <x:c r="D349" s="10" t="n">
        <x:v>18</x:v>
      </x:c>
      <x:c r="E349" s="10"/>
      <x:c r="F349" s="10"/>
      <x:c r="G349" s="10"/>
      <x:c r="H349" s="10" t="n">
        <x:v>74</x:v>
      </x:c>
      <x:c r="I349" s="11" t="n">
        <x:f aca="0">ROUND((IF((B349*C349)/90000&lt;1,1))+IF((B349*C349)/90000&gt;=1,(B349*C349)/90000),1.1)</x:f>
        <x:v>1</x:v>
      </x:c>
      <x:c r="J349" s="11" t="n">
        <x:f aca="0">SUM(F349*I349)</x:f>
        <x:v>0</x:v>
      </x:c>
      <x:c r="K349" s="11" t="n">
        <x:f aca="0">SUM(H349*J349)</x:f>
        <x:v>0</x:v>
      </x:c>
      <x:c r="L349" s="11"/>
      <x:c r="M349" s="11" t="n">
        <x:f aca="0">SUM(C349-1)</x:f>
        <x:v>-1</x:v>
      </x:c>
      <x:c r="N349" s="11" t="n">
        <x:f aca="0">SUM(B349)</x:f>
        <x:v>0</x:v>
      </x:c>
      <x:c r="O349" s="11" t="n">
        <x:f aca="0">SUM(F349*1)</x:f>
        <x:v>0</x:v>
      </x:c>
      <x:c r="P349" s="11"/>
      <x:c r="Q349" s="11" t="str">
        <x:f aca="0">A349</x:f>
        <x:v>推門</x:v>
      </x:c>
      <x:c r="R349" s="1" t="n">
        <x:f aca="0">SUM(B349*2+C349*2)*F349</x:f>
        <x:v>0</x:v>
      </x:c>
      <x:c r="T349"/>
    </x:row>
    <x:row r="350" ht="22.200000762939453" hidden="0">
      <x:c r="A350" s="10" t="s">
        <x:v>33</x:v>
      </x:c>
      <x:c r="B350" s="10"/>
      <x:c r="C350" s="10"/>
      <x:c r="D350" s="10" t="n">
        <x:v>18</x:v>
      </x:c>
      <x:c r="E350" s="10"/>
      <x:c r="F350" s="10"/>
      <x:c r="G350" s="10"/>
      <x:c r="H350" s="10" t="n">
        <x:v>74</x:v>
      </x:c>
      <x:c r="I350" s="11" t="n">
        <x:f aca="0">ROUND((IF((B350*C350)/90000&lt;1,1))+IF((B350*C350)/90000&gt;=1,(B350*C350)/90000),1.1)</x:f>
        <x:v>1</x:v>
      </x:c>
      <x:c r="J350" s="11" t="n">
        <x:f aca="0">SUM(F350*I350)</x:f>
        <x:v>0</x:v>
      </x:c>
      <x:c r="K350" s="11" t="n">
        <x:f aca="0">SUM(H350*J350)</x:f>
        <x:v>0</x:v>
      </x:c>
      <x:c r="L350" s="11"/>
      <x:c r="M350" s="11" t="n">
        <x:f aca="0">SUM(C350)</x:f>
        <x:v>0</x:v>
      </x:c>
      <x:c r="N350" s="11" t="n">
        <x:f aca="0">SUM(B350-1)</x:f>
        <x:v>-1</x:v>
      </x:c>
      <x:c r="O350" s="11" t="n">
        <x:f aca="0">SUM(F350*1)</x:f>
        <x:v>0</x:v>
      </x:c>
      <x:c r="P350" s="11"/>
      <x:c r="Q350" s="11" t="str">
        <x:f aca="0">A350</x:f>
        <x:v>側封板</x:v>
      </x:c>
      <x:c r="R350" s="1" t="n">
        <x:f aca="0">SUM(+C350*1)*F350</x:f>
        <x:v>0</x:v>
      </x:c>
      <x:c r="S350" s="1" t="n">
        <x:f aca="0">SUM(C350*1)*F350</x:f>
        <x:v>0</x:v>
      </x:c>
      <x:c r="T350"/>
    </x:row>
    <x:row r="351" ht="22.200000762939453" hidden="0">
      <x:c r="A351" s="10" t="s">
        <x:v>33</x:v>
      </x:c>
      <x:c r="B351" s="10"/>
      <x:c r="C351" s="10"/>
      <x:c r="D351" s="10" t="n">
        <x:v>18</x:v>
      </x:c>
      <x:c r="E351" s="10"/>
      <x:c r="F351" s="10"/>
      <x:c r="G351" s="10"/>
      <x:c r="H351" s="10" t="n">
        <x:v>74</x:v>
      </x:c>
      <x:c r="I351" s="11" t="n">
        <x:f aca="0">ROUND((IF((B351*C351)/90000&lt;1,1))+IF((B351*C351)/90000&gt;=1,(B351*C351)/90000),1.1)</x:f>
        <x:v>1</x:v>
      </x:c>
      <x:c r="J351" s="11" t="n">
        <x:f aca="0">SUM(F351*I351)</x:f>
        <x:v>0</x:v>
      </x:c>
      <x:c r="K351" s="11" t="n">
        <x:f aca="0">SUM(H351*J351)</x:f>
        <x:v>0</x:v>
      </x:c>
      <x:c r="L351" s="11"/>
      <x:c r="M351" s="11" t="n">
        <x:f aca="0">SUM(C351)</x:f>
        <x:v>0</x:v>
      </x:c>
      <x:c r="N351" s="11" t="n">
        <x:f aca="0">SUM(B351-1)</x:f>
        <x:v>-1</x:v>
      </x:c>
      <x:c r="O351" s="11" t="n">
        <x:f aca="0">SUM(F351*1)</x:f>
        <x:v>0</x:v>
      </x:c>
      <x:c r="P351" s="11"/>
      <x:c r="Q351" s="11" t="str">
        <x:f aca="0">A351</x:f>
        <x:v>側封板</x:v>
      </x:c>
      <x:c r="R351" s="1" t="n">
        <x:f aca="0">SUM(+C351*1)*F351</x:f>
        <x:v>0</x:v>
      </x:c>
      <x:c r="S351" s="1" t="n">
        <x:f aca="0">SUM(C351*1)*F351</x:f>
        <x:v>0</x:v>
      </x:c>
      <x:c r="T351"/>
    </x:row>
    <x:row r="352" ht="22.200000762939453" hidden="0">
      <x:c r="A352" s="10" t="s">
        <x:v>34</x:v>
      </x:c>
      <x:c r="B352" s="10"/>
      <x:c r="C352" s="10"/>
      <x:c r="D352" s="10" t="n">
        <x:v>18</x:v>
      </x:c>
      <x:c r="E352" s="10"/>
      <x:c r="F352" s="10"/>
      <x:c r="G352" s="10"/>
      <x:c r="H352" s="10" t="n">
        <x:v>74</x:v>
      </x:c>
      <x:c r="I352" s="11" t="n">
        <x:f aca="0">ROUND((IF((B352*C352)/90000&lt;1,1))+IF((B352*C352)/90000&gt;=1,(B352*C352)/90000),1.1)</x:f>
        <x:v>1</x:v>
      </x:c>
      <x:c r="J352" s="11" t="n">
        <x:f aca="0">SUM(F352*I352)</x:f>
        <x:v>0</x:v>
      </x:c>
      <x:c r="K352" s="11" t="n">
        <x:f aca="0">SUM(H352*J352)</x:f>
        <x:v>0</x:v>
      </x:c>
      <x:c r="L352" s="11"/>
      <x:c r="M352" s="11" t="n">
        <x:f aca="0">SUM(C352)</x:f>
        <x:v>0</x:v>
      </x:c>
      <x:c r="N352" s="11" t="n">
        <x:f aca="0">SUM(B352-1)</x:f>
        <x:v>-1</x:v>
      </x:c>
      <x:c r="O352" s="11" t="n">
        <x:f aca="0">SUM(F352*1)</x:f>
        <x:v>0</x:v>
      </x:c>
      <x:c r="P352" s="11"/>
      <x:c r="Q352" s="11" t="str">
        <x:f aca="0">A352</x:f>
        <x:v>軌道板</x:v>
      </x:c>
      <x:c r="R352" s="1" t="n">
        <x:f aca="0">SUM(+C352*1)*F352</x:f>
        <x:v>0</x:v>
      </x:c>
      <x:c r="S352" s="1" t="n">
        <x:f aca="0">SUM(C352*1)*F352</x:f>
        <x:v>0</x:v>
      </x:c>
      <x:c r="T352"/>
    </x:row>
    <x:row r="353" ht="22.200000762939453" hidden="0">
      <x:c r="A353" s="10" t="s">
        <x:v>34</x:v>
      </x:c>
      <x:c r="B353" s="10"/>
      <x:c r="C353" s="10"/>
      <x:c r="D353" s="10" t="n">
        <x:v>18</x:v>
      </x:c>
      <x:c r="E353" s="10"/>
      <x:c r="F353" s="10"/>
      <x:c r="G353" s="10"/>
      <x:c r="H353" s="10" t="n">
        <x:v>74</x:v>
      </x:c>
      <x:c r="I353" s="11" t="n">
        <x:f aca="0">ROUND((IF((B353*C353)/90000&lt;1,1))+IF((B353*C353)/90000&gt;=1,(B353*C353)/90000),1.1)</x:f>
        <x:v>1</x:v>
      </x:c>
      <x:c r="J353" s="11" t="n">
        <x:f aca="0">SUM(F353*I353)</x:f>
        <x:v>0</x:v>
      </x:c>
      <x:c r="K353" s="11" t="n">
        <x:f aca="0">SUM(H353*J353)</x:f>
        <x:v>0</x:v>
      </x:c>
      <x:c r="L353" s="11"/>
      <x:c r="M353" s="11" t="n">
        <x:f aca="0">SUM(C353)</x:f>
        <x:v>0</x:v>
      </x:c>
      <x:c r="N353" s="11" t="n">
        <x:f aca="0">SUM(B353-1)</x:f>
        <x:v>-1</x:v>
      </x:c>
      <x:c r="O353" s="11" t="n">
        <x:f aca="0">SUM(F353*1)</x:f>
        <x:v>0</x:v>
      </x:c>
      <x:c r="P353" s="11"/>
      <x:c r="Q353" s="11" t="str">
        <x:f aca="0">A353</x:f>
        <x:v>軌道板</x:v>
      </x:c>
      <x:c r="R353" s="1" t="n">
        <x:f aca="0">SUM(+C353*1)*F353</x:f>
        <x:v>0</x:v>
      </x:c>
      <x:c r="S353" s="1" t="n">
        <x:f aca="0">SUM(C353*1)*F353</x:f>
        <x:v>0</x:v>
      </x:c>
      <x:c r="T353"/>
    </x:row>
    <x:row r="354" ht="22.200000762939453" hidden="0">
      <x:c r="A354" s="10" t="s">
        <x:v>35</x:v>
      </x:c>
      <x:c r="B354" s="10"/>
      <x:c r="C354" s="10"/>
      <x:c r="D354" s="10" t="n">
        <x:v>18</x:v>
      </x:c>
      <x:c r="E354" s="10"/>
      <x:c r="F354" s="10"/>
      <x:c r="G354" s="10"/>
      <x:c r="H354" s="10" t="n">
        <x:v>69</x:v>
      </x:c>
      <x:c r="I354" s="11" t="n">
        <x:f aca="0">ROUND((IF((B354*C354)/90000&lt;1,1))+IF((B354*C354)/90000&gt;=1,(B354*C354)/90000),1.1)</x:f>
        <x:v>1</x:v>
      </x:c>
      <x:c r="J354" s="11" t="n">
        <x:f aca="0">SUM(F354*I354)</x:f>
        <x:v>0</x:v>
      </x:c>
      <x:c r="K354" s="11" t="n">
        <x:f aca="0">SUM(H354*J354)</x:f>
        <x:v>0</x:v>
      </x:c>
      <x:c r="L354" s="11"/>
      <x:c r="M354" s="11" t="n">
        <x:f aca="0">SUM(C354)</x:f>
        <x:v>0</x:v>
      </x:c>
      <x:c r="N354" s="11" t="n">
        <x:f aca="0">SUM(B354-1)</x:f>
        <x:v>-1</x:v>
      </x:c>
      <x:c r="O354" s="11" t="n">
        <x:f aca="0">SUM(F354*1)</x:f>
        <x:v>0</x:v>
      </x:c>
      <x:c r="P354" s="11"/>
      <x:c r="Q354" s="11" t="str">
        <x:f aca="0">A354</x:f>
        <x:v>擋板</x:v>
      </x:c>
      <x:c r="R354" s="1" t="n">
        <x:f aca="0">SUM(C354*2)*F354</x:f>
        <x:v>0</x:v>
      </x:c>
      <x:c r="T354"/>
    </x:row>
    <x:row r="355" ht="22.200000762939453" hidden="0">
      <x:c r="A355" s="10" t="s">
        <x:v>35</x:v>
      </x:c>
      <x:c r="B355" s="10"/>
      <x:c r="C355" s="10"/>
      <x:c r="D355" s="10" t="n">
        <x:v>18</x:v>
      </x:c>
      <x:c r="E355" s="10"/>
      <x:c r="F355" s="10"/>
      <x:c r="G355" s="10"/>
      <x:c r="H355" s="10" t="n">
        <x:v>69</x:v>
      </x:c>
      <x:c r="I355" s="11" t="n">
        <x:f aca="0">ROUND((IF((B355*C355)/90000&lt;1,1))+IF((B355*C355)/90000&gt;=1,(B355*C355)/90000),1.1)</x:f>
        <x:v>1</x:v>
      </x:c>
      <x:c r="J355" s="11" t="n">
        <x:f aca="0">SUM(F355*I355)</x:f>
        <x:v>0</x:v>
      </x:c>
      <x:c r="K355" s="11" t="n">
        <x:f aca="0">SUM(H355*J355)</x:f>
        <x:v>0</x:v>
      </x:c>
      <x:c r="L355" s="11"/>
      <x:c r="M355" s="11" t="n">
        <x:f aca="0">SUM(C355)</x:f>
        <x:v>0</x:v>
      </x:c>
      <x:c r="N355" s="11" t="n">
        <x:f aca="0">SUM(B355-1)</x:f>
        <x:v>-1</x:v>
      </x:c>
      <x:c r="O355" s="11" t="n">
        <x:f aca="0">SUM(F355*1)</x:f>
        <x:v>0</x:v>
      </x:c>
      <x:c r="P355" s="11"/>
      <x:c r="Q355" s="11" t="str">
        <x:f aca="0">A355</x:f>
        <x:v>擋板</x:v>
      </x:c>
      <x:c r="R355" s="1" t="n">
        <x:f aca="0">SUM(C355*2)*F355</x:f>
        <x:v>0</x:v>
      </x:c>
      <x:c r="T355"/>
    </x:row>
    <x:row r="356" ht="22.200000762939453" hidden="0">
      <x:c r="A356" s="10" t="s">
        <x:v>36</x:v>
      </x:c>
      <x:c r="B356" s="10"/>
      <x:c r="C356" s="10"/>
      <x:c r="D356" s="10" t="n">
        <x:v>8</x:v>
      </x:c>
      <x:c r="E356" s="10"/>
      <x:c r="F356" s="10"/>
      <x:c r="G356" s="10"/>
      <x:c r="H356" s="10" t="n">
        <x:v>69</x:v>
      </x:c>
      <x:c r="I356" s="11" t="n">
        <x:f aca="0">ROUND((IF((B356*C356)/90000&lt;1,1))+IF((B356*C356)/90000&gt;=1,(B356*C356)/90000),1.1)</x:f>
        <x:v>1</x:v>
      </x:c>
      <x:c r="J356" s="11" t="n">
        <x:f aca="0">SUM(F356*I356)</x:f>
        <x:v>0</x:v>
      </x:c>
      <x:c r="K356" s="11" t="n">
        <x:f aca="0">SUM(H356*J356)</x:f>
        <x:v>0</x:v>
      </x:c>
      <x:c r="L356" s="11"/>
      <x:c r="M356" s="11" t="n">
        <x:f aca="0">SUM(C356)</x:f>
        <x:v>0</x:v>
      </x:c>
      <x:c r="N356" s="11" t="n">
        <x:f aca="0">SUM(B356-1)</x:f>
        <x:v>-1</x:v>
      </x:c>
      <x:c r="O356" s="11" t="n">
        <x:f aca="0">SUM(F356*1)</x:f>
        <x:v>0</x:v>
      </x:c>
      <x:c r="P356" s="11"/>
      <x:c r="Q356" s="11" t="str">
        <x:f aca="0">A356</x:f>
        <x:v>襯板</x:v>
      </x:c>
      <x:c r="R356" s="1" t="n">
        <x:f aca="0">SUM(C356*2)*F356</x:f>
        <x:v>0</x:v>
      </x:c>
      <x:c r="T356"/>
    </x:row>
    <x:row r="357" ht="22.200000762939453" hidden="0">
      <x:c r="A357" s="10" t="s">
        <x:v>36</x:v>
      </x:c>
      <x:c r="B357" s="10"/>
      <x:c r="C357" s="10"/>
      <x:c r="D357" s="10" t="n">
        <x:v>8</x:v>
      </x:c>
      <x:c r="E357" s="10"/>
      <x:c r="F357" s="10"/>
      <x:c r="G357" s="10"/>
      <x:c r="H357" s="10" t="n">
        <x:v>69</x:v>
      </x:c>
      <x:c r="I357" s="11" t="n">
        <x:f aca="0">ROUND((IF((B357*C357)/90000&lt;1,1))+IF((B357*C357)/90000&gt;=1,(B357*C357)/90000),1.1)</x:f>
        <x:v>1</x:v>
      </x:c>
      <x:c r="J357" s="11" t="n">
        <x:f aca="0">SUM(F357*I357)</x:f>
        <x:v>0</x:v>
      </x:c>
      <x:c r="K357" s="11" t="n">
        <x:f aca="0">SUM(H357*J357)</x:f>
        <x:v>0</x:v>
      </x:c>
      <x:c r="L357" s="11"/>
      <x:c r="M357" s="11" t="n">
        <x:f aca="0">SUM(C357)</x:f>
        <x:v>0</x:v>
      </x:c>
      <x:c r="N357" s="11" t="n">
        <x:f aca="0">SUM(B357-1)</x:f>
        <x:v>-1</x:v>
      </x:c>
      <x:c r="O357" s="11" t="n">
        <x:f aca="0">SUM(F357*1)</x:f>
        <x:v>0</x:v>
      </x:c>
      <x:c r="P357" s="11"/>
      <x:c r="Q357" s="11" t="str">
        <x:f aca="0">A357</x:f>
        <x:v>襯板</x:v>
      </x:c>
      <x:c r="R357" s="1" t="n">
        <x:f aca="0">SUM(C357*2)*F357</x:f>
        <x:v>0</x:v>
      </x:c>
      <x:c r="T357"/>
    </x:row>
    <x:row r="358" ht="22.200000762939453" hidden="0">
      <x:c r="A358" s="10" t="s">
        <x:v>37</x:v>
      </x:c>
      <x:c r="B358" s="10"/>
      <x:c r="C358" s="10"/>
      <x:c r="D358" s="10" t="n">
        <x:v>8</x:v>
      </x:c>
      <x:c r="E358" s="10"/>
      <x:c r="F358" s="10"/>
      <x:c r="G358" s="10"/>
      <x:c r="H358" s="10" t="n">
        <x:v>50</x:v>
      </x:c>
      <x:c r="I358" s="11" t="n">
        <x:f aca="0">ROUND((IF((B358*C358)/90000&lt;1,1))+IF((B358*C358)/90000&gt;=1,(B358*C358)/90000),1.1)</x:f>
        <x:v>1</x:v>
      </x:c>
      <x:c r="J358" s="11" t="n">
        <x:f aca="0">SUM(F358*I358)</x:f>
        <x:v>0</x:v>
      </x:c>
      <x:c r="K358" s="11" t="n">
        <x:f aca="0">SUM(H358*J358)</x:f>
        <x:v>0</x:v>
      </x:c>
      <x:c r="L358" s="11"/>
      <x:c r="M358" s="11" t="n">
        <x:f aca="0">SUM(C358)</x:f>
        <x:v>0</x:v>
      </x:c>
      <x:c r="N358" s="11" t="n">
        <x:f aca="0">SUM(B358)</x:f>
        <x:v>0</x:v>
      </x:c>
      <x:c r="O358" s="11" t="n">
        <x:f aca="0">SUM(F358*1)</x:f>
        <x:v>0</x:v>
      </x:c>
      <x:c r="P358" s="11"/>
      <x:c r="Q358" s="11" t="str">
        <x:f aca="0">A358</x:f>
        <x:v>背板</x:v>
      </x:c>
      <x:c r="T358"/>
    </x:row>
    <x:row r="359" ht="22.200000762939453" hidden="0">
      <x:c r="A359" s="10" t="s">
        <x:v>37</x:v>
      </x:c>
      <x:c r="B359" s="10"/>
      <x:c r="C359" s="10"/>
      <x:c r="D359" s="10" t="n">
        <x:v>8</x:v>
      </x:c>
      <x:c r="E359" s="10"/>
      <x:c r="F359" s="10"/>
      <x:c r="G359" s="10"/>
      <x:c r="H359" s="10" t="n">
        <x:v>50</x:v>
      </x:c>
      <x:c r="I359" s="11" t="n">
        <x:f aca="0">ROUND((IF((B359*C359)/90000&lt;1,1))+IF((B359*C359)/90000&gt;=1,(B359*C359)/90000),1.1)</x:f>
        <x:v>1</x:v>
      </x:c>
      <x:c r="J359" s="11" t="n">
        <x:f aca="0">SUM(F359*I359)</x:f>
        <x:v>0</x:v>
      </x:c>
      <x:c r="K359" s="11" t="n">
        <x:f aca="0">SUM(H359*J359)</x:f>
        <x:v>0</x:v>
      </x:c>
      <x:c r="L359" s="11"/>
      <x:c r="M359" s="11" t="n">
        <x:f aca="0">SUM(C359)</x:f>
        <x:v>0</x:v>
      </x:c>
      <x:c r="N359" s="11" t="n">
        <x:f aca="0">SUM(B359)</x:f>
        <x:v>0</x:v>
      </x:c>
      <x:c r="O359" s="11" t="n">
        <x:f aca="0">SUM(F359*1)</x:f>
        <x:v>0</x:v>
      </x:c>
      <x:c r="P359" s="11"/>
      <x:c r="Q359" s="11" t="str">
        <x:f aca="0">A359</x:f>
        <x:v>背板</x:v>
      </x:c>
      <x:c r="T359"/>
    </x:row>
    <x:row r="360" ht="22.200000762939453" hidden="0">
      <x:c r="A360" s="10" t="s">
        <x:v>37</x:v>
      </x:c>
      <x:c r="B360" s="10"/>
      <x:c r="C360" s="10"/>
      <x:c r="D360" s="10" t="n">
        <x:v>8</x:v>
      </x:c>
      <x:c r="E360" s="10"/>
      <x:c r="F360" s="10"/>
      <x:c r="G360" s="10"/>
      <x:c r="H360" s="10" t="n">
        <x:v>50</x:v>
      </x:c>
      <x:c r="I360" s="11" t="n">
        <x:f aca="0">ROUND((IF((B360*C360)/90000&lt;1,1))+IF((B360*C360)/90000&gt;=1,(B360*C360)/90000),1.1)</x:f>
        <x:v>1</x:v>
      </x:c>
      <x:c r="J360" s="11" t="n">
        <x:f aca="0">SUM(F360*I360)</x:f>
        <x:v>0</x:v>
      </x:c>
      <x:c r="K360" s="11" t="n">
        <x:f aca="0">SUM(H360*J360)</x:f>
        <x:v>0</x:v>
      </x:c>
      <x:c r="L360" s="11"/>
      <x:c r="M360" s="11" t="n">
        <x:f aca="0">SUM(C360)</x:f>
        <x:v>0</x:v>
      </x:c>
      <x:c r="N360" s="11" t="n">
        <x:f aca="0">SUM(B360)</x:f>
        <x:v>0</x:v>
      </x:c>
      <x:c r="O360" s="11" t="n">
        <x:f aca="0">SUM(F360*1)</x:f>
        <x:v>0</x:v>
      </x:c>
      <x:c r="P360" s="11"/>
      <x:c r="Q360" s="11" t="str">
        <x:f aca="0">A360</x:f>
        <x:v>背板</x:v>
      </x:c>
      <x:c r="T360"/>
    </x:row>
    <x:row r="361" ht="22.200000762939453" hidden="0">
      <x:c r="A361" s="10" t="s">
        <x:v>37</x:v>
      </x:c>
      <x:c r="B361" s="10"/>
      <x:c r="C361" s="10"/>
      <x:c r="D361" s="10" t="n">
        <x:v>8</x:v>
      </x:c>
      <x:c r="E361" s="10"/>
      <x:c r="F361" s="10"/>
      <x:c r="G361" s="10"/>
      <x:c r="H361" s="10" t="n">
        <x:v>50</x:v>
      </x:c>
      <x:c r="I361" s="11" t="n">
        <x:f aca="0">ROUND((IF((B361*C361)/90000&lt;1,1))+IF((B361*C361)/90000&gt;=1,(B361*C361)/90000),1.1)</x:f>
        <x:v>1</x:v>
      </x:c>
      <x:c r="J361" s="11" t="n">
        <x:f aca="0">SUM(F361*I361)</x:f>
        <x:v>0</x:v>
      </x:c>
      <x:c r="K361" s="11" t="n">
        <x:f aca="0">SUM(H361*J361)</x:f>
        <x:v>0</x:v>
      </x:c>
      <x:c r="L361" s="11"/>
      <x:c r="M361" s="11" t="n">
        <x:f aca="0">SUM(C361)</x:f>
        <x:v>0</x:v>
      </x:c>
      <x:c r="N361" s="11" t="n">
        <x:f aca="0">SUM(B361)</x:f>
        <x:v>0</x:v>
      </x:c>
      <x:c r="O361" s="11" t="n">
        <x:f aca="0">SUM(F361*1)</x:f>
        <x:v>0</x:v>
      </x:c>
      <x:c r="P361" s="11"/>
      <x:c r="Q361" s="11" t="str">
        <x:f aca="0">A361</x:f>
        <x:v>背板</x:v>
      </x:c>
      <x:c r="T361"/>
    </x:row>
    <x:row r="362" ht="22.200000762939453" hidden="0">
      <x:c r="A362" s="10" t="s">
        <x:v>37</x:v>
      </x:c>
      <x:c r="B362" s="10"/>
      <x:c r="C362" s="10"/>
      <x:c r="D362" s="10" t="n">
        <x:v>8</x:v>
      </x:c>
      <x:c r="E362" s="10"/>
      <x:c r="F362" s="10"/>
      <x:c r="G362" s="10"/>
      <x:c r="H362" s="10" t="n">
        <x:v>50</x:v>
      </x:c>
      <x:c r="I362" s="11" t="n">
        <x:f aca="0">ROUND((IF((B362*C362)/90000&lt;1,1))+IF((B362*C362)/90000&gt;=1,(B362*C362)/90000),1.1)</x:f>
        <x:v>1</x:v>
      </x:c>
      <x:c r="J362" s="11" t="n">
        <x:f aca="0">SUM(F362*I362)</x:f>
        <x:v>0</x:v>
      </x:c>
      <x:c r="K362" s="11" t="n">
        <x:f aca="0">SUM(H362*J362)</x:f>
        <x:v>0</x:v>
      </x:c>
      <x:c r="L362" s="11"/>
      <x:c r="M362" s="11" t="n">
        <x:f aca="0">SUM(C362)</x:f>
        <x:v>0</x:v>
      </x:c>
      <x:c r="N362" s="11" t="n">
        <x:f aca="0">SUM(B362)</x:f>
        <x:v>0</x:v>
      </x:c>
      <x:c r="O362" s="11" t="n">
        <x:f aca="0">SUM(F362*1)</x:f>
        <x:v>0</x:v>
      </x:c>
      <x:c r="P362" s="11"/>
      <x:c r="Q362" s="11" t="str">
        <x:f aca="0">A362</x:f>
        <x:v>背板</x:v>
      </x:c>
      <x:c r="T362"/>
    </x:row>
    <x:row r="363" ht="22.200000762939453" hidden="0">
      <x:c r="A363" s="10" t="s">
        <x:v>38</x:v>
      </x:c>
      <x:c r="B363" s="10"/>
      <x:c r="C363" s="10"/>
      <x:c r="D363" s="10" t="n">
        <x:v>18</x:v>
      </x:c>
      <x:c r="E363" s="10"/>
      <x:c r="F363" s="10"/>
      <x:c r="G363" s="10"/>
      <x:c r="H363" s="10" t="n">
        <x:v>50</x:v>
      </x:c>
      <x:c r="I363" s="11" t="n">
        <x:f aca="0">ROUND((IF((B363*C363)/90000&lt;1,1))+IF((B363*C363)/90000&gt;=1,(B363*C363)/90000),1.1)</x:f>
        <x:v>1</x:v>
      </x:c>
      <x:c r="J363" s="11" t="n">
        <x:f aca="0">SUM(F363*I363)</x:f>
        <x:v>0</x:v>
      </x:c>
      <x:c r="K363" s="11" t="n">
        <x:f aca="0">SUM(H363*J363)</x:f>
        <x:v>0</x:v>
      </x:c>
      <x:c r="L363" s="11"/>
      <x:c r="M363" s="11" t="n">
        <x:f aca="0">SUM(C363)</x:f>
        <x:v>0</x:v>
      </x:c>
      <x:c r="N363" s="11" t="n">
        <x:f aca="0">SUM(B363)</x:f>
        <x:v>0</x:v>
      </x:c>
      <x:c r="O363" s="11" t="n">
        <x:f aca="0">SUM(F363*1)</x:f>
        <x:v>0</x:v>
      </x:c>
      <x:c r="P363" s="11"/>
      <x:c r="Q363" s="11" t="str">
        <x:f aca="0">A363</x:f>
        <x:v>踢腳板</x:v>
      </x:c>
      <x:c r="R363" s="1" t="n">
        <x:f aca="0">SUM(C363*1)*F363</x:f>
        <x:v>0</x:v>
      </x:c>
      <x:c r="T363"/>
    </x:row>
    <x:row r="364" ht="22.200000762939453" hidden="0">
      <x:c r="A364" s="10" t="s">
        <x:v>39</x:v>
      </x:c>
      <x:c r="B364" s="10"/>
      <x:c r="C364" s="10"/>
      <x:c r="D364" s="10" t="n">
        <x:v>25</x:v>
      </x:c>
      <x:c r="E364" s="10"/>
      <x:c r="F364" s="10"/>
      <x:c r="G364" s="10"/>
      <x:c r="H364" s="10" t="n">
        <x:v>126</x:v>
      </x:c>
      <x:c r="I364" s="11" t="n">
        <x:f aca="0">ROUND((IF((B364*C364)/90000&lt;1,1))+IF((B364*C364)/90000&gt;=1,(B364*C364)/90000),1.1)</x:f>
        <x:v>1</x:v>
      </x:c>
      <x:c r="J364" s="11" t="n">
        <x:f aca="0">SUM(F364*I364)</x:f>
        <x:v>0</x:v>
      </x:c>
      <x:c r="K364" s="11" t="n">
        <x:f aca="0">SUM(H364*J364)</x:f>
        <x:v>0</x:v>
      </x:c>
      <x:c r="L364" s="11"/>
      <x:c r="M364" s="11" t="n">
        <x:f aca="0">SUM(C364)</x:f>
        <x:v>0</x:v>
      </x:c>
      <x:c r="N364" s="11" t="n">
        <x:f aca="0">SUM(B364-1)</x:f>
        <x:v>-1</x:v>
      </x:c>
      <x:c r="O364" s="11" t="n">
        <x:f aca="0">SUM(F364*1)</x:f>
        <x:v>0</x:v>
      </x:c>
      <x:c r="P364" s="11"/>
      <x:c r="Q364" s="11" t="str">
        <x:f aca="0">A364</x:f>
        <x:v>檯面</x:v>
      </x:c>
      <x:c r="S364" s="1" t="n">
        <x:f aca="0">SUM(B364*2+C364*1)*F364</x:f>
        <x:v>0</x:v>
      </x:c>
      <x:c r="T364"/>
    </x:row>
    <x:row r="365" ht="22.200000762939453" hidden="0">
      <x:c r="A365" s="10" t="s">
        <x:v>40</x:v>
      </x:c>
      <x:c r="B365" s="10"/>
      <x:c r="C365" s="10"/>
      <x:c r="D365" s="10" t="n">
        <x:v>18</x:v>
      </x:c>
      <x:c r="E365" s="10"/>
      <x:c r="F365" s="10"/>
      <x:c r="G365" s="10"/>
      <x:c r="H365" s="10" t="n">
        <x:v>65</x:v>
      </x:c>
      <x:c r="I365" s="11" t="n">
        <x:f aca="0">ROUND((IF((B365*C365)/90000&lt;1,1))+IF((B365*C365)/90000&gt;=1,(B365*C365)/90000),1.1)</x:f>
        <x:v>1</x:v>
      </x:c>
      <x:c r="J365" s="11" t="n">
        <x:f aca="0">SUM(F365*I365)</x:f>
        <x:v>0</x:v>
      </x:c>
      <x:c r="K365" s="11" t="n">
        <x:f aca="0">SUM(H365*J365)</x:f>
        <x:v>0</x:v>
      </x:c>
      <x:c r="L365" s="11"/>
      <x:c r="M365" s="11" t="n">
        <x:f aca="0">SUM(C365)</x:f>
        <x:v>0</x:v>
      </x:c>
      <x:c r="N365" s="11" t="n">
        <x:f aca="0">SUM(B365)</x:f>
        <x:v>0</x:v>
      </x:c>
      <x:c r="O365" s="11" t="n">
        <x:f aca="0">SUM(F365*1)</x:f>
        <x:v>0</x:v>
      </x:c>
      <x:c r="P365" s="11"/>
      <x:c r="Q365" s="11" t="str">
        <x:f aca="0">A365</x:f>
        <x:v>背條</x:v>
      </x:c>
      <x:c r="T365"/>
    </x:row>
    <x:row r="366" ht="22.200000762939453" hidden="0">
      <x:c r="A366" s="10" t="s">
        <x:v>40</x:v>
      </x:c>
      <x:c r="B366" s="10"/>
      <x:c r="C366" s="10"/>
      <x:c r="D366" s="10" t="n">
        <x:v>18</x:v>
      </x:c>
      <x:c r="E366" s="10"/>
      <x:c r="F366" s="10"/>
      <x:c r="G366" s="10"/>
      <x:c r="H366" s="10" t="n">
        <x:v>65</x:v>
      </x:c>
      <x:c r="I366" s="11" t="n">
        <x:f aca="0">ROUND((IF((B366*C366)/90000&lt;1,1))+IF((B366*C366)/90000&gt;=1,(B366*C366)/90000),1.1)</x:f>
        <x:v>1</x:v>
      </x:c>
      <x:c r="J366" s="11" t="n">
        <x:f aca="0">SUM(F366*I366)</x:f>
        <x:v>0</x:v>
      </x:c>
      <x:c r="K366" s="11" t="n">
        <x:f aca="0">SUM(H366*J366)</x:f>
        <x:v>0</x:v>
      </x:c>
      <x:c r="L366" s="11"/>
      <x:c r="M366" s="11" t="n">
        <x:f aca="0">SUM(C366)</x:f>
        <x:v>0</x:v>
      </x:c>
      <x:c r="N366" s="11" t="n">
        <x:f aca="0">SUM(B366)</x:f>
        <x:v>0</x:v>
      </x:c>
      <x:c r="O366" s="11" t="n">
        <x:f aca="0">SUM(F366*1)</x:f>
        <x:v>0</x:v>
      </x:c>
      <x:c r="P366" s="11"/>
      <x:c r="Q366" s="11" t="str">
        <x:f aca="0">A366</x:f>
        <x:v>背條</x:v>
      </x:c>
      <x:c r="T366"/>
    </x:row>
    <x:row r="367" ht="22.200000762939453" hidden="0">
      <x:c r="A367" s="10" t="s">
        <x:v>40</x:v>
      </x:c>
      <x:c r="B367" s="10"/>
      <x:c r="C367" s="10"/>
      <x:c r="D367" s="10" t="n">
        <x:v>18</x:v>
      </x:c>
      <x:c r="E367" s="10"/>
      <x:c r="F367" s="10"/>
      <x:c r="G367" s="10"/>
      <x:c r="H367" s="10" t="n">
        <x:v>65</x:v>
      </x:c>
      <x:c r="I367" s="11" t="n">
        <x:f aca="0">ROUND((IF((B367*C367)/90000&lt;1,1))+IF((B367*C367)/90000&gt;=1,(B367*C367)/90000),1.1)</x:f>
        <x:v>1</x:v>
      </x:c>
      <x:c r="J367" s="11" t="n">
        <x:f aca="0">SUM(F367*I367)</x:f>
        <x:v>0</x:v>
      </x:c>
      <x:c r="K367" s="11" t="n">
        <x:f aca="0">SUM(H367*J367)</x:f>
        <x:v>0</x:v>
      </x:c>
      <x:c r="L367" s="11"/>
      <x:c r="M367" s="11" t="n">
        <x:f aca="0">SUM(C367)</x:f>
        <x:v>0</x:v>
      </x:c>
      <x:c r="N367" s="11" t="n">
        <x:f aca="0">SUM(B367)</x:f>
        <x:v>0</x:v>
      </x:c>
      <x:c r="O367" s="11" t="n">
        <x:f aca="0">SUM(F367*1)</x:f>
        <x:v>0</x:v>
      </x:c>
      <x:c r="P367" s="11"/>
      <x:c r="Q367" s="11" t="str">
        <x:f aca="0">A367</x:f>
        <x:v>背條</x:v>
      </x:c>
      <x:c r="T367"/>
    </x:row>
    <x:row r="368" ht="22.200000762939453" hidden="0">
      <x:c r="A368" s="10" t="s">
        <x:v>40</x:v>
      </x:c>
      <x:c r="B368" s="10"/>
      <x:c r="C368" s="10"/>
      <x:c r="D368" s="10" t="n">
        <x:v>18</x:v>
      </x:c>
      <x:c r="E368" s="10"/>
      <x:c r="F368" s="10"/>
      <x:c r="G368" s="10"/>
      <x:c r="H368" s="10" t="n">
        <x:v>65</x:v>
      </x:c>
      <x:c r="I368" s="11" t="n">
        <x:f aca="0">ROUND((IF((B368*C368)/90000&lt;1,1))+IF((B368*C368)/90000&gt;=1,(B368*C368)/90000),1.1)</x:f>
        <x:v>1</x:v>
      </x:c>
      <x:c r="J368" s="11" t="n">
        <x:f aca="0">SUM(F368*I368)</x:f>
        <x:v>0</x:v>
      </x:c>
      <x:c r="K368" s="11" t="n">
        <x:f aca="0">SUM(H368*J368)</x:f>
        <x:v>0</x:v>
      </x:c>
      <x:c r="L368" s="11"/>
      <x:c r="M368" s="11" t="n">
        <x:f aca="0">SUM(C368)</x:f>
        <x:v>0</x:v>
      </x:c>
      <x:c r="N368" s="11" t="n">
        <x:f aca="0">SUM(B368)</x:f>
        <x:v>0</x:v>
      </x:c>
      <x:c r="O368" s="11" t="n">
        <x:f aca="0">SUM(F368*1)</x:f>
        <x:v>0</x:v>
      </x:c>
      <x:c r="P368" s="11"/>
      <x:c r="Q368" s="11" t="str">
        <x:f aca="0">A368</x:f>
        <x:v>背條</x:v>
      </x:c>
      <x:c r="T368"/>
    </x:row>
    <x:row r="369" ht="22.200000762939453" hidden="0">
      <x:c r="A369" s="12" t="s">
        <x:v>41</x:v>
      </x:c>
      <x:c r="B369" s="10"/>
      <x:c r="C369" s="10"/>
      <x:c r="D369" s="10"/>
      <x:c r="E369" s="10"/>
      <x:c r="F369" s="10"/>
      <x:c r="G369" s="10"/>
      <x:c r="H369" s="10" t="n">
        <x:v>11</x:v>
      </x:c>
      <x:c r="I369" s="11"/>
      <x:c r="J369" s="11"/>
      <x:c r="K369" s="11" t="n">
        <x:f aca="0">SUM(F369*H369)</x:f>
        <x:v>0</x:v>
      </x:c>
      <x:c r="L369" s="11"/>
      <x:c r="M369" s="11"/>
      <x:c r="N369" s="11"/>
      <x:c r="O369" s="11"/>
      <x:c r="P369" s="11"/>
      <x:c r="Q369" s="11"/>
      <x:c r="T369"/>
    </x:row>
    <x:row r="370" ht="22.200000762939453" hidden="0">
      <x:c r="A370" s="12" t="s">
        <x:v>42</x:v>
      </x:c>
      <x:c r="B370" s="10"/>
      <x:c r="C370" s="10"/>
      <x:c r="D370" s="10"/>
      <x:c r="E370" s="10"/>
      <x:c r="F370" s="10"/>
      <x:c r="G370" s="10"/>
      <x:c r="H370" s="10" t="n">
        <x:v>9</x:v>
      </x:c>
      <x:c r="I370" s="11"/>
      <x:c r="J370" s="11"/>
      <x:c r="K370" s="11" t="n">
        <x:f aca="0">SUM(F370*H370)</x:f>
        <x:v>0</x:v>
      </x:c>
      <x:c r="L370" s="11"/>
      <x:c r="M370" s="11"/>
      <x:c r="N370" s="11"/>
      <x:c r="O370" s="11"/>
      <x:c r="P370" s="11"/>
      <x:c r="Q370" s="11"/>
      <x:c r="R370" s="9"/>
      <x:c r="S370" s="13"/>
      <x:c r="T370"/>
    </x:row>
    <x:row r="371" ht="22.200000762939453" hidden="0">
      <x:c r="A371" s="10" t="s">
        <x:v>43</x:v>
      </x:c>
      <x:c r="B371" s="10"/>
      <x:c r="C371" s="10"/>
      <x:c r="D371" s="10"/>
      <x:c r="E371" s="10"/>
      <x:c r="F371" s="10"/>
      <x:c r="G371" s="10"/>
      <x:c r="H371" s="10" t="n">
        <x:v>1</x:v>
      </x:c>
      <x:c r="I371" s="11"/>
      <x:c r="J371" s="11"/>
      <x:c r="K371" s="11" t="n">
        <x:f aca="0">SUM(F371*H371)</x:f>
        <x:v>0</x:v>
      </x:c>
      <x:c r="L371" s="11"/>
      <x:c r="M371" s="11"/>
      <x:c r="N371" s="11"/>
      <x:c r="O371" s="11"/>
      <x:c r="P371" s="11"/>
      <x:c r="Q371" s="11"/>
      <x:c r="T371"/>
    </x:row>
    <x:row r="372" ht="22.200000762939453" hidden="0">
      <x:c r="A372" s="10" t="s">
        <x:v>44</x:v>
      </x:c>
      <x:c r="B372" s="10"/>
      <x:c r="C372" s="10"/>
      <x:c r="D372" s="10"/>
      <x:c r="E372" s="10"/>
      <x:c r="F372" s="10"/>
      <x:c r="G372" s="10"/>
      <x:c r="H372" s="10" t="n">
        <x:v>11</x:v>
      </x:c>
      <x:c r="I372" s="11"/>
      <x:c r="J372" s="11"/>
      <x:c r="K372" s="11" t="n">
        <x:f aca="0">SUM(F372*H372)</x:f>
        <x:v>0</x:v>
      </x:c>
      <x:c r="L372" s="11"/>
      <x:c r="M372" s="11"/>
      <x:c r="N372" s="11"/>
      <x:c r="O372" s="11"/>
      <x:c r="P372" s="11"/>
      <x:c r="Q372" s="11"/>
      <x:c r="T372"/>
    </x:row>
    <x:row r="373" ht="22.200000762939453" hidden="0">
      <x:c r="A373" s="10" t="s">
        <x:v>45</x:v>
      </x:c>
      <x:c r="B373" s="10"/>
      <x:c r="C373" s="10"/>
      <x:c r="D373" s="10"/>
      <x:c r="E373" s="10"/>
      <x:c r="F373" s="10"/>
      <x:c r="G373" s="10"/>
      <x:c r="H373" s="10" t="n">
        <x:v>7</x:v>
      </x:c>
      <x:c r="I373" s="11"/>
      <x:c r="J373" s="11"/>
      <x:c r="K373" s="11" t="n">
        <x:f aca="0">SUM(F373*H373)</x:f>
        <x:v>0</x:v>
      </x:c>
      <x:c r="L373" s="11"/>
      <x:c r="M373" s="11"/>
      <x:c r="N373" s="11"/>
      <x:c r="O373" s="11"/>
      <x:c r="P373" s="11"/>
      <x:c r="Q373" s="11"/>
      <x:c r="T373"/>
    </x:row>
    <x:row r="374" ht="22.200000762939453" hidden="0">
      <x:c r="A374" s="12" t="s">
        <x:v>65</x:v>
      </x:c>
      <x:c r="B374" s="10"/>
      <x:c r="C374" s="10"/>
      <x:c r="D374" s="10"/>
      <x:c r="E374" s="10"/>
      <x:c r="F374" s="10"/>
      <x:c r="G374" s="10"/>
      <x:c r="H374" s="10" t="n">
        <x:v>50</x:v>
      </x:c>
      <x:c r="I374" s="11"/>
      <x:c r="J374" s="11"/>
      <x:c r="K374" s="11" t="n">
        <x:f aca="0">SUM(F374*H374)</x:f>
        <x:v>0</x:v>
      </x:c>
      <x:c r="L374" s="11"/>
      <x:c r="M374" s="11"/>
      <x:c r="N374" s="11"/>
      <x:c r="O374" s="11"/>
      <x:c r="P374" s="11"/>
      <x:c r="Q374" s="11"/>
      <x:c r="T374"/>
    </x:row>
    <x:row r="375" ht="22.200000762939453" hidden="0">
      <x:c r="A375" s="10" t="s">
        <x:v>47</x:v>
      </x:c>
      <x:c r="B375" s="10"/>
      <x:c r="C375" s="10"/>
      <x:c r="D375" s="10"/>
      <x:c r="E375" s="10"/>
      <x:c r="F375" s="10"/>
      <x:c r="G375" s="10"/>
      <x:c r="H375" s="10" t="n">
        <x:v>90</x:v>
      </x:c>
      <x:c r="I375" s="11"/>
      <x:c r="J375" s="11"/>
      <x:c r="K375" s="11" t="n">
        <x:f aca="0">SUM(F375*H375)</x:f>
        <x:v>0</x:v>
      </x:c>
      <x:c r="L375" s="11"/>
      <x:c r="M375" s="11"/>
      <x:c r="N375" s="11"/>
      <x:c r="O375" s="11"/>
      <x:c r="P375" s="11"/>
      <x:c r="Q375" s="11"/>
      <x:c r="T375"/>
    </x:row>
    <x:row r="376" ht="22.200000762939453" hidden="0">
      <x:c r="A376" s="10" t="s">
        <x:v>48</x:v>
      </x:c>
      <x:c r="B376" s="10"/>
      <x:c r="C376" s="10"/>
      <x:c r="D376" s="10"/>
      <x:c r="E376" s="10"/>
      <x:c r="F376" s="10"/>
      <x:c r="G376" s="10"/>
      <x:c r="H376" s="10" t="n">
        <x:v>275</x:v>
      </x:c>
      <x:c r="I376" s="11"/>
      <x:c r="J376" s="11"/>
      <x:c r="K376" s="11" t="n">
        <x:f aca="0">SUM(F376*H376)</x:f>
        <x:v>0</x:v>
      </x:c>
      <x:c r="L376" s="11"/>
      <x:c r="M376" s="11"/>
      <x:c r="N376" s="11"/>
      <x:c r="O376" s="11"/>
      <x:c r="P376" s="11"/>
      <x:c r="Q376" s="11"/>
      <x:c r="T376"/>
    </x:row>
    <x:row r="377" ht="22.200000762939453" hidden="0">
      <x:c r="A377" s="12" t="s">
        <x:v>49</x:v>
      </x:c>
      <x:c r="B377" s="10"/>
      <x:c r="C377" s="10"/>
      <x:c r="D377" s="10"/>
      <x:c r="E377" s="10"/>
      <x:c r="F377" s="10"/>
      <x:c r="G377" s="10"/>
      <x:c r="H377" s="10" t="n">
        <x:v>165</x:v>
      </x:c>
      <x:c r="I377" s="11"/>
      <x:c r="J377" s="11"/>
      <x:c r="K377" s="11" t="n">
        <x:f aca="0">SUM(F377*H377)</x:f>
        <x:v>0</x:v>
      </x:c>
      <x:c r="L377" s="11"/>
      <x:c r="M377" s="11"/>
      <x:c r="N377" s="11"/>
      <x:c r="O377" s="11"/>
      <x:c r="P377" s="11"/>
      <x:c r="Q377" s="11"/>
      <x:c r="T377"/>
    </x:row>
    <x:row r="378" ht="22.200000762939453" hidden="0">
      <x:c r="A378" s="12" t="s">
        <x:v>50</x:v>
      </x:c>
      <x:c r="B378" s="10"/>
      <x:c r="C378" s="10"/>
      <x:c r="D378" s="10"/>
      <x:c r="E378" s="10"/>
      <x:c r="F378" s="10"/>
      <x:c r="G378" s="10"/>
      <x:c r="H378" s="10"/>
      <x:c r="I378" s="11"/>
      <x:c r="J378" s="11"/>
      <x:c r="K378" s="11" t="n">
        <x:f aca="0">SUM(F378*H378)</x:f>
        <x:v>0</x:v>
      </x:c>
      <x:c r="L378" s="11"/>
      <x:c r="M378" s="11"/>
      <x:c r="N378" s="11"/>
      <x:c r="O378" s="11"/>
      <x:c r="P378" s="11"/>
      <x:c r="Q378" s="11"/>
      <x:c r="T378"/>
    </x:row>
    <x:row r="379" ht="22.200000762939453" hidden="0">
      <x:c r="A379" s="12" t="s">
        <x:v>51</x:v>
      </x:c>
      <x:c r="B379" s="10"/>
      <x:c r="C379" s="10"/>
      <x:c r="D379" s="10"/>
      <x:c r="E379" s="10"/>
      <x:c r="F379" s="10"/>
      <x:c r="G379" s="10"/>
      <x:c r="H379" s="10"/>
      <x:c r="I379" s="11"/>
      <x:c r="J379" s="11"/>
      <x:c r="K379" s="11" t="n">
        <x:f aca="0">SUM(F379*H379)</x:f>
        <x:v>0</x:v>
      </x:c>
      <x:c r="L379" s="11"/>
      <x:c r="M379" s="11"/>
      <x:c r="N379" s="11"/>
      <x:c r="O379" s="11"/>
      <x:c r="P379" s="11"/>
      <x:c r="Q379" s="11"/>
      <x:c r="T379"/>
    </x:row>
    <x:row r="380" ht="22.200000762939453" hidden="0">
      <x:c r="A380" s="12" t="s">
        <x:v>52</x:v>
      </x:c>
      <x:c r="B380" s="10"/>
      <x:c r="C380" s="10"/>
      <x:c r="D380" s="10"/>
      <x:c r="E380" s="10"/>
      <x:c r="F380" s="10"/>
      <x:c r="G380" s="10"/>
      <x:c r="H380" s="10"/>
      <x:c r="I380" s="11"/>
      <x:c r="J380" s="11"/>
      <x:c r="K380" s="11" t="n">
        <x:f aca="0">SUM(F380*H380)</x:f>
        <x:v>0</x:v>
      </x:c>
      <x:c r="L380" s="11"/>
      <x:c r="M380" s="11"/>
      <x:c r="N380" s="11"/>
      <x:c r="O380" s="11"/>
      <x:c r="P380" s="11"/>
      <x:c r="Q380" s="11"/>
      <x:c r="T380"/>
    </x:row>
    <x:row r="381" ht="22.200000762939453" hidden="0">
      <x:c r="A381" s="12" t="s">
        <x:v>53</x:v>
      </x:c>
      <x:c r="B381" s="10"/>
      <x:c r="C381" s="10"/>
      <x:c r="D381" s="10"/>
      <x:c r="E381" s="10"/>
      <x:c r="F381" s="10"/>
      <x:c r="G381" s="10"/>
      <x:c r="H381" s="10" t="n">
        <x:v>66</x:v>
      </x:c>
      <x:c r="I381" s="11"/>
      <x:c r="J381" s="11"/>
      <x:c r="K381" s="11" t="n">
        <x:f aca="0">SUM(F381*H381)</x:f>
        <x:v>0</x:v>
      </x:c>
      <x:c r="L381" s="11"/>
      <x:c r="M381" s="11"/>
      <x:c r="N381" s="11"/>
      <x:c r="O381" s="11"/>
      <x:c r="P381" s="11"/>
      <x:c r="Q381" s="11"/>
      <x:c r="T381"/>
    </x:row>
    <x:row r="382" ht="22.200000762939453" hidden="0">
      <x:c r="A382" s="10" t="s">
        <x:v>54</x:v>
      </x:c>
      <x:c r="B382" s="10"/>
      <x:c r="C382" s="10"/>
      <x:c r="D382" s="10"/>
      <x:c r="E382" s="10"/>
      <x:c r="F382" s="10"/>
      <x:c r="G382" s="10"/>
      <x:c r="H382" s="10" t="n">
        <x:v>220</x:v>
      </x:c>
      <x:c r="I382" s="11"/>
      <x:c r="J382" s="11"/>
      <x:c r="K382" s="11" t="n">
        <x:f aca="0">SUM(F382*H382)</x:f>
        <x:v>0</x:v>
      </x:c>
      <x:c r="L382" s="11"/>
      <x:c r="M382" s="11"/>
      <x:c r="N382" s="11"/>
      <x:c r="O382" s="11"/>
      <x:c r="P382" s="11"/>
      <x:c r="Q382" s="11"/>
      <x:c r="T382"/>
    </x:row>
    <x:row r="383" ht="22.200000762939453" hidden="0">
      <x:c r="A383" s="12" t="s">
        <x:v>55</x:v>
      </x:c>
      <x:c r="B383" s="10"/>
      <x:c r="C383" s="10"/>
      <x:c r="D383" s="10"/>
      <x:c r="E383" s="10"/>
      <x:c r="F383" s="10"/>
      <x:c r="G383" s="10"/>
      <x:c r="H383" s="10"/>
      <x:c r="I383" s="11"/>
      <x:c r="J383" s="11"/>
      <x:c r="K383" s="11" t="n">
        <x:f aca="0">SUM(F383*H383)</x:f>
        <x:v>0</x:v>
      </x:c>
      <x:c r="L383" s="11"/>
      <x:c r="M383" s="11"/>
      <x:c r="N383" s="11"/>
      <x:c r="O383" s="11"/>
      <x:c r="P383" s="11"/>
      <x:c r="Q383" s="11"/>
      <x:c r="T383"/>
    </x:row>
    <x:row r="384" ht="22.200000762939453" hidden="0">
      <x:c r="A384" s="10" t="s">
        <x:v>56</x:v>
      </x:c>
      <x:c r="B384" s="10"/>
      <x:c r="C384" s="10"/>
      <x:c r="D384" s="10"/>
      <x:c r="E384" s="10"/>
      <x:c r="F384" s="10"/>
      <x:c r="G384" s="10"/>
      <x:c r="H384" s="10" t="n">
        <x:v>800</x:v>
      </x:c>
      <x:c r="I384" s="11"/>
      <x:c r="J384" s="11"/>
      <x:c r="K384" s="11" t="n">
        <x:f aca="0">SUM(F384*H384)</x:f>
        <x:v>0</x:v>
      </x:c>
      <x:c r="L384" s="11"/>
      <x:c r="M384" s="11"/>
      <x:c r="N384" s="11"/>
      <x:c r="O384" s="11"/>
      <x:c r="P384" s="11"/>
      <x:c r="Q384" s="11"/>
      <x:c r="T384"/>
    </x:row>
    <x:row r="385" ht="22.200000762939453" hidden="0">
      <x:c r="A385" s="10" t="s">
        <x:v>57</x:v>
      </x:c>
      <x:c r="B385" s="10"/>
      <x:c r="C385" s="10"/>
      <x:c r="D385" s="10"/>
      <x:c r="E385" s="10"/>
      <x:c r="F385" s="10"/>
      <x:c r="G385" s="10"/>
      <x:c r="H385" s="10" t="n">
        <x:v>200</x:v>
      </x:c>
      <x:c r="I385" s="11"/>
      <x:c r="J385" s="11"/>
      <x:c r="K385" s="11" t="n">
        <x:f aca="0">SUM(F385*H385)</x:f>
        <x:v>0</x:v>
      </x:c>
      <x:c r="L385" s="11"/>
      <x:c r="M385" s="11"/>
      <x:c r="N385" s="11"/>
      <x:c r="O385" s="11"/>
      <x:c r="P385" s="11"/>
      <x:c r="Q385" s="11"/>
      <x:c r="T385"/>
    </x:row>
    <x:row r="386" ht="22.200000762939453" hidden="0">
      <x:c r="A386" s="10" t="s">
        <x:v>58</x:v>
      </x:c>
      <x:c r="B386" s="10"/>
      <x:c r="C386" s="10"/>
      <x:c r="D386" s="10"/>
      <x:c r="E386" s="10"/>
      <x:c r="F386" s="10"/>
      <x:c r="G386" s="10"/>
      <x:c r="H386" s="10" t="n">
        <x:v>150</x:v>
      </x:c>
      <x:c r="I386" s="11"/>
      <x:c r="J386" s="11"/>
      <x:c r="K386" s="11" t="n">
        <x:f aca="0">SUM(F386*H386)</x:f>
        <x:v>0</x:v>
      </x:c>
      <x:c r="L386" s="11"/>
      <x:c r="M386" s="11"/>
      <x:c r="N386" s="11"/>
      <x:c r="O386" s="11"/>
      <x:c r="P386" s="11"/>
      <x:c r="Q386" s="11"/>
      <x:c r="T386"/>
    </x:row>
    <x:row r="387" ht="22.200000762939453" hidden="0">
      <x:c r="A387" s="10" t="s">
        <x:v>59</x:v>
      </x:c>
      <x:c r="B387" s="10"/>
      <x:c r="C387" s="10"/>
      <x:c r="D387" s="10"/>
      <x:c r="E387" s="10"/>
      <x:c r="F387" s="10"/>
      <x:c r="G387" s="10"/>
      <x:c r="H387" s="10" t="n">
        <x:v>34</x:v>
      </x:c>
      <x:c r="I387" s="11"/>
      <x:c r="J387" s="11"/>
      <x:c r="K387" s="11" t="n">
        <x:f aca="0">SUM(F387*H387)</x:f>
        <x:v>0</x:v>
      </x:c>
      <x:c r="L387" s="11"/>
      <x:c r="M387" s="11"/>
      <x:c r="N387" s="11"/>
      <x:c r="O387" s="11"/>
      <x:c r="P387" s="11"/>
      <x:c r="Q387" s="11"/>
      <x:c r="T387"/>
    </x:row>
    <x:row r="388" ht="22.200000762939453" hidden="0">
      <x:c r="A388" s="10" t="s">
        <x:v>60</x:v>
      </x:c>
      <x:c r="B388" s="10"/>
      <x:c r="C388" s="10"/>
      <x:c r="D388" s="10"/>
      <x:c r="E388" s="10"/>
      <x:c r="F388" s="10"/>
      <x:c r="G388" s="10"/>
      <x:c r="H388" s="10" t="n">
        <x:v>6</x:v>
      </x:c>
      <x:c r="I388" s="11"/>
      <x:c r="J388" s="11"/>
      <x:c r="K388" s="11" t="n">
        <x:f aca="0">SUM(F388*H388)</x:f>
        <x:v>0</x:v>
      </x:c>
      <x:c r="L388" s="11"/>
      <x:c r="M388" s="11"/>
      <x:c r="N388" s="11"/>
      <x:c r="O388" s="11"/>
      <x:c r="P388" s="11"/>
      <x:c r="Q388" s="11"/>
      <x:c r="T388"/>
    </x:row>
    <x:row r="389" ht="22.200000762939453" hidden="0">
      <x:c r="A389" s="10" t="s">
        <x:v>61</x:v>
      </x:c>
      <x:c r="B389" s="10"/>
      <x:c r="C389" s="10"/>
      <x:c r="D389" s="10"/>
      <x:c r="E389" s="10"/>
      <x:c r="F389" s="10"/>
      <x:c r="G389" s="10"/>
      <x:c r="H389" s="10" t="n">
        <x:v>670</x:v>
      </x:c>
      <x:c r="I389" s="11"/>
      <x:c r="J389" s="11"/>
      <x:c r="K389" s="11" t="n">
        <x:f aca="0">SUM(F389*H389)</x:f>
        <x:v>0</x:v>
      </x:c>
      <x:c r="L389" s="11"/>
      <x:c r="M389" s="11"/>
      <x:c r="N389" s="11"/>
      <x:c r="O389" s="11"/>
      <x:c r="P389" s="11"/>
      <x:c r="Q389" s="11"/>
      <x:c r="T389"/>
    </x:row>
    <x:row r="390" ht="22.200000762939453" hidden="0">
      <x:c r="A390" s="10" t="s">
        <x:v>62</x:v>
      </x:c>
      <x:c r="B390" s="10"/>
      <x:c r="C390" s="10"/>
      <x:c r="D390" s="10"/>
      <x:c r="E390" s="10"/>
      <x:c r="F390" s="10"/>
      <x:c r="G390" s="10"/>
      <x:c r="H390" s="10" t="n">
        <x:v>110</x:v>
      </x:c>
      <x:c r="I390" s="11"/>
      <x:c r="J390" s="11"/>
      <x:c r="K390" s="11" t="n">
        <x:f aca="0">SUM(F390*H390)</x:f>
        <x:v>0</x:v>
      </x:c>
      <x:c r="L390" s="11"/>
      <x:c r="M390" s="11"/>
      <x:c r="N390" s="11"/>
      <x:c r="O390" s="11"/>
      <x:c r="P390" s="11"/>
      <x:c r="Q390" s="11"/>
      <x:c r="T390"/>
    </x:row>
    <x:row r="391" ht="22.200000762939453" hidden="0">
      <x:c r="A391" s="10" t="s">
        <x:v>63</x:v>
      </x:c>
      <x:c r="B391" s="10"/>
      <x:c r="C391" s="10"/>
      <x:c r="D391" s="10"/>
      <x:c r="E391" s="10"/>
      <x:c r="F391" s="10"/>
      <x:c r="G391" s="10"/>
      <x:c r="H391" s="10"/>
      <x:c r="I391" s="11"/>
      <x:c r="J391" s="11"/>
      <x:c r="K391" s="11" t="n">
        <x:f aca="0">SUM(F391*H391)</x:f>
        <x:v>0</x:v>
      </x:c>
      <x:c r="L391" s="11"/>
      <x:c r="M391" s="11"/>
      <x:c r="N391" s="11"/>
      <x:c r="O391" s="11"/>
      <x:c r="P391" s="11"/>
      <x:c r="Q391" s="11"/>
      <x:c r="T391"/>
    </x:row>
    <x:row r="392" ht="22.200000762939453" hidden="0">
      <x:c r="A392" s="10"/>
      <x:c r="B392" s="10"/>
      <x:c r="C392" s="10"/>
      <x:c r="D392" s="10"/>
      <x:c r="E392" s="10"/>
      <x:c r="F392" s="10"/>
      <x:c r="G392" s="10"/>
      <x:c r="H392" s="10"/>
      <x:c r="I392" s="11"/>
      <x:c r="J392" s="11"/>
      <x:c r="K392" s="11" t="n">
        <x:f aca="0">SUM(F392*H392)</x:f>
        <x:v>0</x:v>
      </x:c>
      <x:c r="L392" s="11"/>
      <x:c r="M392" s="11"/>
      <x:c r="N392" s="11"/>
      <x:c r="O392" s="11"/>
      <x:c r="P392" s="11"/>
      <x:c r="Q392" s="11"/>
      <x:c r="T392"/>
    </x:row>
    <x:row r="393" ht="22.200000762939453" hidden="0">
      <x:c r="A393" s="15"/>
      <x:c r="B393" s="15"/>
      <x:c r="C393" s="15"/>
      <x:c r="D393" s="15"/>
      <x:c r="E393" s="15"/>
      <x:c r="F393" s="15"/>
      <x:c r="G393" s="15"/>
      <x:c r="H393" s="15"/>
      <x:c r="I393" s="11" t="n">
        <x:f aca="0">SUM(B393*C393)/90000</x:f>
        <x:v>0</x:v>
      </x:c>
      <x:c r="J393" s="15" t="s">
        <x:v>17</x:v>
      </x:c>
      <x:c r="K393" s="16" t="n">
        <x:f aca="0">SUM(K320:K392)</x:f>
        <x:v>0</x:v>
      </x:c>
      <x:c r="L393" s="16" t="n">
        <x:f aca="0">SUM(K393*1.35)</x:f>
        <x:v>0</x:v>
      </x:c>
      <x:c r="M393" s="16"/>
      <x:c r="N393" s="16" t="n">
        <x:f aca="0">SUM(M393*1.25)</x:f>
        <x:v>0</x:v>
      </x:c>
      <x:c r="O393" s="16"/>
      <x:c r="P393" s="16"/>
      <x:c r="Q393" s="16"/>
      <x:c r="T393"/>
    </x:row>
    <x:row r="397" ht="22.200000762939453" hidden="0">
      <x:c r="A397" s="5"/>
      <x:c r="B397" s="5"/>
      <x:c r="C397" s="5"/>
      <x:c r="D397" s="5"/>
      <x:c r="E397" s="5"/>
      <x:c r="F397" s="5"/>
      <x:c r="G397" s="6"/>
      <x:c r="H397" s="5"/>
      <x:c r="I397" s="3"/>
      <x:c r="J397" s="3"/>
      <x:c r="K397" s="4"/>
      <x:c r="L397" s="4"/>
      <x:c r="M397" s="4"/>
      <x:c r="N397" s="4"/>
      <x:c r="O397" s="4"/>
      <x:c r="P397" s="4"/>
      <x:c r="Q397" s="4"/>
      <x:c r="R397" s="4"/>
    </x:row>
    <x:row r="398" ht="22.200000762939453" hidden="0">
      <x:c r="A398" s="7" t="s">
        <x:v>3</x:v>
      </x:c>
      <x:c r="B398" s="8" t="s">
        <x:v>4</x:v>
      </x:c>
      <x:c r="C398" s="8"/>
      <x:c r="D398" s="7" t="s">
        <x:v>5</x:v>
      </x:c>
      <x:c r="E398" s="7"/>
      <x:c r="F398" s="7" t="s">
        <x:v>6</x:v>
      </x:c>
      <x:c r="G398" s="7"/>
      <x:c r="H398" s="7" t="s">
        <x:v>7</x:v>
      </x:c>
      <x:c r="I398" s="7" t="s">
        <x:v>8</x:v>
      </x:c>
      <x:c r="J398" s="7" t="s">
        <x:v>9</x:v>
      </x:c>
      <x:c r="K398" s="7" t="s">
        <x:v>10</x:v>
      </x:c>
      <x:c r="L398" s="7"/>
      <x:c r="M398" s="7" t="s">
        <x:v>11</x:v>
      </x:c>
      <x:c r="N398" s="7" t="s">
        <x:v>12</x:v>
      </x:c>
      <x:c r="O398" s="7" t="s">
        <x:v>6</x:v>
      </x:c>
      <x:c r="P398" s="7" t="s">
        <x:v>13</x:v>
      </x:c>
      <x:c r="Q398" s="7" t="s">
        <x:v>14</x:v>
      </x:c>
      <x:c r="R398" s="9" t="s">
        <x:v>15</x:v>
      </x:c>
      <x:c r="S398" s="9" t="s">
        <x:v>16</x:v>
      </x:c>
      <x:c r="T398"/>
    </x:row>
    <x:row r="399" ht="22.200000762939453" hidden="0">
      <x:c r="A399" s="10" t="s">
        <x:v>18</x:v>
      </x:c>
      <x:c r="B399" s="10"/>
      <x:c r="C399" s="10"/>
      <x:c r="D399" s="10" t="n">
        <x:v>18</x:v>
      </x:c>
      <x:c r="E399" s="10"/>
      <x:c r="F399" s="10"/>
      <x:c r="G399" s="10"/>
      <x:c r="H399" s="10" t="n">
        <x:v>69</x:v>
      </x:c>
      <x:c r="I399" s="11" t="n">
        <x:f aca="0">ROUND((IF((B399*C399)/90000&lt;1,1))+IF((B399*C399)/90000&gt;=1,(B399*C399)/90000),1.1)</x:f>
        <x:v>1</x:v>
      </x:c>
      <x:c r="J399" s="11" t="n">
        <x:f aca="0">SUM(F399*I399)</x:f>
        <x:v>0</x:v>
      </x:c>
      <x:c r="K399" s="11" t="n">
        <x:f aca="0">SUM(H399*J399)</x:f>
        <x:v>0</x:v>
      </x:c>
      <x:c r="L399" s="11"/>
      <x:c r="M399" s="11" t="n">
        <x:f aca="0">SUM(C399-1)</x:f>
        <x:v>-1</x:v>
      </x:c>
      <x:c r="N399" s="11" t="n">
        <x:f aca="0">SUM(B399-1)</x:f>
        <x:v>-1</x:v>
      </x:c>
      <x:c r="O399" s="11" t="n">
        <x:f aca="0">SUM(F399*1)</x:f>
        <x:v>0</x:v>
      </x:c>
      <x:c r="P399" s="11"/>
      <x:c r="Q399" s="11" t="str">
        <x:f aca="0">A399</x:f>
        <x:v>側板</x:v>
      </x:c>
      <x:c r="R399" s="1" t="n">
        <x:f aca="0">SUM(B399*2+C399*2)*F399</x:f>
        <x:v>0</x:v>
      </x:c>
      <x:c r="T399"/>
    </x:row>
    <x:row r="400" ht="22.200000762939453" hidden="0">
      <x:c r="A400" s="10" t="s">
        <x:v>18</x:v>
      </x:c>
      <x:c r="B400" s="10"/>
      <x:c r="C400" s="10"/>
      <x:c r="D400" s="10" t="n">
        <x:v>18</x:v>
      </x:c>
      <x:c r="E400" s="10"/>
      <x:c r="F400" s="10"/>
      <x:c r="G400" s="10"/>
      <x:c r="H400" s="10" t="n">
        <x:v>69</x:v>
      </x:c>
      <x:c r="I400" s="11" t="n">
        <x:f aca="0">ROUND((IF((B400*C400)/90000&lt;1,1))+IF((B400*C400)/90000&gt;=1,(B400*C400)/90000),1.1)</x:f>
        <x:v>1</x:v>
      </x:c>
      <x:c r="J400" s="11" t="n">
        <x:f aca="0">SUM(F400*I400)</x:f>
        <x:v>0</x:v>
      </x:c>
      <x:c r="K400" s="11" t="n">
        <x:f aca="0">SUM(H400*J400)</x:f>
        <x:v>0</x:v>
      </x:c>
      <x:c r="L400" s="11"/>
      <x:c r="M400" s="11" t="n">
        <x:f aca="0">SUM(C400-1)</x:f>
        <x:v>-1</x:v>
      </x:c>
      <x:c r="N400" s="11" t="n">
        <x:f aca="0">SUM(B400-1)</x:f>
        <x:v>-1</x:v>
      </x:c>
      <x:c r="O400" s="11" t="n">
        <x:f aca="0">SUM(F400*1)</x:f>
        <x:v>0</x:v>
      </x:c>
      <x:c r="P400" s="11"/>
      <x:c r="Q400" s="11" t="str">
        <x:f aca="0">A400</x:f>
        <x:v>側板</x:v>
      </x:c>
      <x:c r="R400" s="1" t="n">
        <x:f aca="0">SUM(B400*2+C400*2)*F400</x:f>
        <x:v>0</x:v>
      </x:c>
      <x:c r="T400"/>
    </x:row>
    <x:row r="401" ht="22.200000762939453" hidden="0">
      <x:c r="A401" s="10" t="s">
        <x:v>18</x:v>
      </x:c>
      <x:c r="B401" s="10"/>
      <x:c r="C401" s="10"/>
      <x:c r="D401" s="10" t="n">
        <x:v>18</x:v>
      </x:c>
      <x:c r="E401" s="10"/>
      <x:c r="F401" s="10"/>
      <x:c r="G401" s="10"/>
      <x:c r="H401" s="10" t="n">
        <x:v>69</x:v>
      </x:c>
      <x:c r="I401" s="11" t="n">
        <x:f aca="0">ROUND((IF((B401*C401)/90000&lt;1,1))+IF((B401*C401)/90000&gt;=1,(B401*C401)/90000),1.1)</x:f>
        <x:v>1</x:v>
      </x:c>
      <x:c r="J401" s="11" t="n">
        <x:f aca="0">SUM(F401*I401)</x:f>
        <x:v>0</x:v>
      </x:c>
      <x:c r="K401" s="11" t="n">
        <x:f aca="0">SUM(H401*J401)</x:f>
        <x:v>0</x:v>
      </x:c>
      <x:c r="L401" s="11"/>
      <x:c r="M401" s="11" t="n">
        <x:f aca="0">SUM(C401-1)</x:f>
        <x:v>-1</x:v>
      </x:c>
      <x:c r="N401" s="11" t="n">
        <x:f aca="0">SUM(B401-1)</x:f>
        <x:v>-1</x:v>
      </x:c>
      <x:c r="O401" s="11" t="n">
        <x:f aca="0">SUM(F401*1)</x:f>
        <x:v>0</x:v>
      </x:c>
      <x:c r="P401" s="11"/>
      <x:c r="Q401" s="11" t="str">
        <x:f aca="0">A401</x:f>
        <x:v>側板</x:v>
      </x:c>
      <x:c r="R401" s="1" t="n">
        <x:f aca="0">SUM(B401*2+C401*2)*F401</x:f>
        <x:v>0</x:v>
      </x:c>
      <x:c r="T401"/>
    </x:row>
    <x:row r="402" ht="22.200000762939453" hidden="0">
      <x:c r="A402" s="10" t="s">
        <x:v>19</x:v>
      </x:c>
      <x:c r="B402" s="10"/>
      <x:c r="C402" s="10"/>
      <x:c r="D402" s="10" t="n">
        <x:v>18</x:v>
      </x:c>
      <x:c r="E402" s="10"/>
      <x:c r="F402" s="10"/>
      <x:c r="G402" s="10"/>
      <x:c r="H402" s="10" t="n">
        <x:v>69</x:v>
      </x:c>
      <x:c r="I402" s="11" t="n">
        <x:f aca="0">ROUND((IF((B402*C402)/90000&lt;1,1))+IF((B402*C402)/90000&gt;=1,(B402*C402)/90000),1.1)</x:f>
        <x:v>1</x:v>
      </x:c>
      <x:c r="J402" s="11" t="n">
        <x:f aca="0">SUM(F402*I402)</x:f>
        <x:v>0</x:v>
      </x:c>
      <x:c r="K402" s="11" t="n">
        <x:f aca="0">SUM(H402*J402)</x:f>
        <x:v>0</x:v>
      </x:c>
      <x:c r="L402" s="11"/>
      <x:c r="M402" s="11" t="n">
        <x:f aca="0">SUM(C402)</x:f>
        <x:v>0</x:v>
      </x:c>
      <x:c r="N402" s="11" t="n">
        <x:f aca="0">SUM(B402-1)</x:f>
        <x:v>-1</x:v>
      </x:c>
      <x:c r="O402" s="11" t="n">
        <x:f aca="0">SUM(F402*1)</x:f>
        <x:v>0</x:v>
      </x:c>
      <x:c r="P402" s="11"/>
      <x:c r="Q402" s="11" t="str">
        <x:f aca="0">A402</x:f>
        <x:v>頂底板</x:v>
      </x:c>
      <x:c r="R402" s="1" t="n">
        <x:f aca="0">SUM(C402*2)*F402</x:f>
        <x:v>0</x:v>
      </x:c>
      <x:c r="T402"/>
    </x:row>
    <x:row r="403" ht="22.200000762939453" hidden="0">
      <x:c r="A403" s="10" t="s">
        <x:v>19</x:v>
      </x:c>
      <x:c r="B403" s="10"/>
      <x:c r="C403" s="10"/>
      <x:c r="D403" s="10" t="n">
        <x:v>18</x:v>
      </x:c>
      <x:c r="E403" s="10"/>
      <x:c r="F403" s="10"/>
      <x:c r="G403" s="10"/>
      <x:c r="H403" s="10" t="n">
        <x:v>69</x:v>
      </x:c>
      <x:c r="I403" s="11" t="n">
        <x:f aca="0">ROUND((IF((B403*C403)/90000&lt;1,1))+IF((B403*C403)/90000&gt;=1,(B403*C403)/90000),1.1)</x:f>
        <x:v>1</x:v>
      </x:c>
      <x:c r="J403" s="11" t="n">
        <x:f aca="0">SUM(F403*I403)</x:f>
        <x:v>0</x:v>
      </x:c>
      <x:c r="K403" s="11" t="n">
        <x:f aca="0">SUM(H403*J403)</x:f>
        <x:v>0</x:v>
      </x:c>
      <x:c r="L403" s="11"/>
      <x:c r="M403" s="11" t="n">
        <x:f aca="0">SUM(C403)</x:f>
        <x:v>0</x:v>
      </x:c>
      <x:c r="N403" s="11" t="n">
        <x:f aca="0">SUM(B403-1)</x:f>
        <x:v>-1</x:v>
      </x:c>
      <x:c r="O403" s="11" t="n">
        <x:f aca="0">SUM(F403*1)</x:f>
        <x:v>0</x:v>
      </x:c>
      <x:c r="P403" s="11"/>
      <x:c r="Q403" s="11" t="str">
        <x:f aca="0">A403</x:f>
        <x:v>頂底板</x:v>
      </x:c>
      <x:c r="R403" s="1" t="n">
        <x:f aca="0">SUM(C403*2)*F403</x:f>
        <x:v>0</x:v>
      </x:c>
      <x:c r="T403"/>
    </x:row>
    <x:row r="404" ht="22.200000762939453" hidden="0">
      <x:c r="A404" s="10" t="s">
        <x:v>19</x:v>
      </x:c>
      <x:c r="B404" s="10"/>
      <x:c r="C404" s="10"/>
      <x:c r="D404" s="10" t="n">
        <x:v>18</x:v>
      </x:c>
      <x:c r="E404" s="10"/>
      <x:c r="F404" s="10"/>
      <x:c r="G404" s="10"/>
      <x:c r="H404" s="10" t="n">
        <x:v>69</x:v>
      </x:c>
      <x:c r="I404" s="11" t="n">
        <x:f aca="0">ROUND((IF((B404*C404)/90000&lt;1,1))+IF((B404*C404)/90000&gt;=1,(B404*C404)/90000),1.1)</x:f>
        <x:v>1</x:v>
      </x:c>
      <x:c r="J404" s="11" t="n">
        <x:f aca="0">SUM(F404*I404)</x:f>
        <x:v>0</x:v>
      </x:c>
      <x:c r="K404" s="11" t="n">
        <x:f aca="0">SUM(H404*J404)</x:f>
        <x:v>0</x:v>
      </x:c>
      <x:c r="L404" s="11"/>
      <x:c r="M404" s="11" t="n">
        <x:f aca="0">SUM(C404)</x:f>
        <x:v>0</x:v>
      </x:c>
      <x:c r="N404" s="11" t="n">
        <x:f aca="0">SUM(B404-1)</x:f>
        <x:v>-1</x:v>
      </x:c>
      <x:c r="O404" s="11" t="n">
        <x:f aca="0">SUM(F404*1)</x:f>
        <x:v>0</x:v>
      </x:c>
      <x:c r="P404" s="11"/>
      <x:c r="Q404" s="11" t="str">
        <x:f aca="0">A404</x:f>
        <x:v>頂底板</x:v>
      </x:c>
      <x:c r="R404" s="1" t="n">
        <x:f aca="0">SUM(C404*2)*F404</x:f>
        <x:v>0</x:v>
      </x:c>
      <x:c r="T404"/>
    </x:row>
    <x:row r="405" ht="22.200000762939453" hidden="0">
      <x:c r="A405" s="10" t="s">
        <x:v>20</x:v>
      </x:c>
      <x:c r="B405" s="10"/>
      <x:c r="C405" s="10"/>
      <x:c r="D405" s="10" t="n">
        <x:v>18</x:v>
      </x:c>
      <x:c r="E405" s="10"/>
      <x:c r="F405" s="10"/>
      <x:c r="G405" s="10"/>
      <x:c r="H405" s="10" t="n">
        <x:v>74</x:v>
      </x:c>
      <x:c r="I405" s="11" t="n">
        <x:f aca="0">ROUND((IF((B405*C405)/90000&lt;1,1))+IF((B405*C405)/90000&gt;=1,(B405*C405)/90000),1.1)</x:f>
        <x:v>1</x:v>
      </x:c>
      <x:c r="J405" s="11" t="n">
        <x:f aca="0">SUM(F405*I405)</x:f>
        <x:v>0</x:v>
      </x:c>
      <x:c r="K405" s="11" t="n">
        <x:f aca="0">SUM(H405*J405)</x:f>
        <x:v>0</x:v>
      </x:c>
      <x:c r="L405" s="11"/>
      <x:c r="M405" s="11" t="n">
        <x:f aca="0">SUM(C405)</x:f>
        <x:v>0</x:v>
      </x:c>
      <x:c r="N405" s="11" t="n">
        <x:f aca="0">SUM(B405-1)</x:f>
        <x:v>-1</x:v>
      </x:c>
      <x:c r="O405" s="11" t="n">
        <x:f aca="0">SUM(F405*1)</x:f>
        <x:v>0</x:v>
      </x:c>
      <x:c r="P405" s="11"/>
      <x:c r="Q405" s="11" t="str">
        <x:f aca="0">A405</x:f>
        <x:v>中立板</x:v>
      </x:c>
      <x:c r="R405" s="1" t="n">
        <x:f aca="0">SUM(C405*1)*F405</x:f>
        <x:v>0</x:v>
      </x:c>
      <x:c r="T405"/>
    </x:row>
    <x:row r="406" ht="22.200000762939453" hidden="0">
      <x:c r="A406" s="10" t="s">
        <x:v>20</x:v>
      </x:c>
      <x:c r="B406" s="10"/>
      <x:c r="C406" s="10"/>
      <x:c r="D406" s="10" t="n">
        <x:v>18</x:v>
      </x:c>
      <x:c r="E406" s="10"/>
      <x:c r="F406" s="10"/>
      <x:c r="G406" s="10"/>
      <x:c r="H406" s="10" t="n">
        <x:v>74</x:v>
      </x:c>
      <x:c r="I406" s="11" t="n">
        <x:f aca="0">ROUND((IF((B406*C406)/90000&lt;1,1))+IF((B406*C406)/90000&gt;=1,(B406*C406)/90000),1.1)</x:f>
        <x:v>1</x:v>
      </x:c>
      <x:c r="J406" s="11" t="n">
        <x:f aca="0">SUM(F406*I406)</x:f>
        <x:v>0</x:v>
      </x:c>
      <x:c r="K406" s="11" t="n">
        <x:f aca="0">SUM(H406*J406)</x:f>
        <x:v>0</x:v>
      </x:c>
      <x:c r="L406" s="11"/>
      <x:c r="M406" s="11" t="n">
        <x:f aca="0">SUM(C406)</x:f>
        <x:v>0</x:v>
      </x:c>
      <x:c r="N406" s="11" t="n">
        <x:f aca="0">SUM(B406-1)</x:f>
        <x:v>-1</x:v>
      </x:c>
      <x:c r="O406" s="11" t="n">
        <x:f aca="0">SUM(F406*1)</x:f>
        <x:v>0</x:v>
      </x:c>
      <x:c r="P406" s="11"/>
      <x:c r="Q406" s="11" t="str">
        <x:f aca="0">A406</x:f>
        <x:v>中立板</x:v>
      </x:c>
      <x:c r="R406" s="1" t="n">
        <x:f aca="0">SUM(C406*1)*F406</x:f>
        <x:v>0</x:v>
      </x:c>
      <x:c r="T406"/>
    </x:row>
    <x:row r="407" ht="22.200000762939453" hidden="0">
      <x:c r="A407" s="10" t="s">
        <x:v>21</x:v>
      </x:c>
      <x:c r="B407" s="10"/>
      <x:c r="C407" s="10"/>
      <x:c r="D407" s="10" t="n">
        <x:v>18</x:v>
      </x:c>
      <x:c r="E407" s="10"/>
      <x:c r="F407" s="10"/>
      <x:c r="G407" s="10"/>
      <x:c r="H407" s="10" t="n">
        <x:v>69</x:v>
      </x:c>
      <x:c r="I407" s="11" t="n">
        <x:f aca="0">ROUND((IF((B407*C407)/90000&lt;1,1))+IF((B407*C407)/90000&gt;=1,(B407*C407)/90000),1.1)</x:f>
        <x:v>1</x:v>
      </x:c>
      <x:c r="J407" s="11" t="n">
        <x:f aca="0">SUM(F407*I407)</x:f>
        <x:v>0</x:v>
      </x:c>
      <x:c r="K407" s="11" t="n">
        <x:f aca="0">SUM(H407*J407)</x:f>
        <x:v>0</x:v>
      </x:c>
      <x:c r="L407" s="11"/>
      <x:c r="M407" s="11" t="n">
        <x:f aca="0">SUM(C407)</x:f>
        <x:v>0</x:v>
      </x:c>
      <x:c r="N407" s="11" t="n">
        <x:f aca="0">SUM(B407-1)</x:f>
        <x:v>-1</x:v>
      </x:c>
      <x:c r="O407" s="11" t="n">
        <x:f aca="0">SUM(F407*1)</x:f>
        <x:v>0</x:v>
      </x:c>
      <x:c r="P407" s="11"/>
      <x:c r="Q407" s="11" t="str">
        <x:f aca="0">A407</x:f>
        <x:v>固格板</x:v>
      </x:c>
      <x:c r="R407" s="1" t="n">
        <x:f aca="0">SUM(C407*1)*F407</x:f>
        <x:v>0</x:v>
      </x:c>
      <x:c r="T407"/>
    </x:row>
    <x:row r="408" ht="22.200000762939453" hidden="0">
      <x:c r="A408" s="10" t="s">
        <x:v>21</x:v>
      </x:c>
      <x:c r="B408" s="10"/>
      <x:c r="C408" s="10"/>
      <x:c r="D408" s="10" t="n">
        <x:v>18</x:v>
      </x:c>
      <x:c r="E408" s="10"/>
      <x:c r="F408" s="10"/>
      <x:c r="G408" s="10"/>
      <x:c r="H408" s="10" t="n">
        <x:v>69</x:v>
      </x:c>
      <x:c r="I408" s="11" t="n">
        <x:f aca="0">ROUND((IF((B408*C408)/90000&lt;1,1))+IF((B408*C408)/90000&gt;=1,(B408*C408)/90000),1.1)</x:f>
        <x:v>1</x:v>
      </x:c>
      <x:c r="J408" s="11" t="n">
        <x:f aca="0">SUM(F408*I408)</x:f>
        <x:v>0</x:v>
      </x:c>
      <x:c r="K408" s="11" t="n">
        <x:f aca="0">SUM(H408*J408)</x:f>
        <x:v>0</x:v>
      </x:c>
      <x:c r="L408" s="11"/>
      <x:c r="M408" s="11" t="n">
        <x:f aca="0">SUM(C408)</x:f>
        <x:v>0</x:v>
      </x:c>
      <x:c r="N408" s="11" t="n">
        <x:f aca="0">SUM(B408-1)</x:f>
        <x:v>-1</x:v>
      </x:c>
      <x:c r="O408" s="11" t="n">
        <x:f aca="0">SUM(F408*1)</x:f>
        <x:v>0</x:v>
      </x:c>
      <x:c r="P408" s="11"/>
      <x:c r="Q408" s="11" t="str">
        <x:f aca="0">A408</x:f>
        <x:v>固格板</x:v>
      </x:c>
      <x:c r="R408" s="1" t="n">
        <x:f aca="0">SUM(C408*1)*F408</x:f>
        <x:v>0</x:v>
      </x:c>
      <x:c r="T408"/>
    </x:row>
    <x:row r="409" ht="22.200000762939453" hidden="0">
      <x:c r="A409" s="10" t="s">
        <x:v>21</x:v>
      </x:c>
      <x:c r="B409" s="10"/>
      <x:c r="C409" s="10"/>
      <x:c r="D409" s="10" t="n">
        <x:v>18</x:v>
      </x:c>
      <x:c r="E409" s="10"/>
      <x:c r="F409" s="10"/>
      <x:c r="G409" s="10"/>
      <x:c r="H409" s="10" t="n">
        <x:v>69</x:v>
      </x:c>
      <x:c r="I409" s="11" t="n">
        <x:f aca="0">ROUND((IF((B409*C409)/90000&lt;1,1))+IF((B409*C409)/90000&gt;=1,(B409*C409)/90000),1.1)</x:f>
        <x:v>1</x:v>
      </x:c>
      <x:c r="J409" s="11" t="n">
        <x:f aca="0">SUM(F409*I409)</x:f>
        <x:v>0</x:v>
      </x:c>
      <x:c r="K409" s="11" t="n">
        <x:f aca="0">SUM(H409*J409)</x:f>
        <x:v>0</x:v>
      </x:c>
      <x:c r="L409" s="11"/>
      <x:c r="M409" s="11" t="n">
        <x:f aca="0">SUM(C409)</x:f>
        <x:v>0</x:v>
      </x:c>
      <x:c r="N409" s="11" t="n">
        <x:f aca="0">SUM(B409-1)</x:f>
        <x:v>-1</x:v>
      </x:c>
      <x:c r="O409" s="11" t="n">
        <x:f aca="0">SUM(F409*1)</x:f>
        <x:v>0</x:v>
      </x:c>
      <x:c r="P409" s="11"/>
      <x:c r="Q409" s="11" t="str">
        <x:f aca="0">A409</x:f>
        <x:v>固格板</x:v>
      </x:c>
      <x:c r="R409" s="1" t="n">
        <x:f aca="0">SUM(C409*1)*F409</x:f>
        <x:v>0</x:v>
      </x:c>
      <x:c r="T409"/>
    </x:row>
    <x:row r="410" ht="22.200000762939453" hidden="0">
      <x:c r="A410" s="10" t="s">
        <x:v>22</x:v>
      </x:c>
      <x:c r="B410" s="10"/>
      <x:c r="C410" s="10"/>
      <x:c r="D410" s="10" t="n">
        <x:v>18</x:v>
      </x:c>
      <x:c r="E410" s="10"/>
      <x:c r="F410" s="10"/>
      <x:c r="G410" s="10"/>
      <x:c r="H410" s="10" t="n">
        <x:v>69</x:v>
      </x:c>
      <x:c r="I410" s="11" t="n">
        <x:f aca="0">ROUND((IF((B410*C410)/90000&lt;1,1))+IF((B410*C410)/90000&gt;=1,(B410*C410)/90000),1.1)</x:f>
        <x:v>1</x:v>
      </x:c>
      <x:c r="J410" s="11" t="n">
        <x:f aca="0">SUM(F410*I410)</x:f>
        <x:v>0</x:v>
      </x:c>
      <x:c r="K410" s="11" t="n">
        <x:f aca="0">SUM(H410*J410)</x:f>
        <x:v>0</x:v>
      </x:c>
      <x:c r="L410" s="11"/>
      <x:c r="M410" s="11" t="n">
        <x:f aca="0">SUM(C410-1)</x:f>
        <x:v>-1</x:v>
      </x:c>
      <x:c r="N410" s="11" t="n">
        <x:f aca="0">SUM(B410-1)</x:f>
        <x:v>-1</x:v>
      </x:c>
      <x:c r="O410" s="11" t="n">
        <x:f aca="0">SUM(F410*1)</x:f>
        <x:v>0</x:v>
      </x:c>
      <x:c r="P410" s="11"/>
      <x:c r="Q410" s="11" t="str">
        <x:f aca="0">A410</x:f>
        <x:v>活格板</x:v>
      </x:c>
      <x:c r="R410" s="1" t="n">
        <x:f aca="0">SUM(B410*2+C410*2)*F410</x:f>
        <x:v>0</x:v>
      </x:c>
      <x:c r="T410"/>
    </x:row>
    <x:row r="411" ht="22.200000762939453" hidden="0">
      <x:c r="A411" s="10" t="s">
        <x:v>22</x:v>
      </x:c>
      <x:c r="B411" s="10"/>
      <x:c r="C411" s="10"/>
      <x:c r="D411" s="10" t="n">
        <x:v>18</x:v>
      </x:c>
      <x:c r="E411" s="10"/>
      <x:c r="F411" s="10"/>
      <x:c r="G411" s="10"/>
      <x:c r="H411" s="10" t="n">
        <x:v>69</x:v>
      </x:c>
      <x:c r="I411" s="11" t="n">
        <x:f aca="0">ROUND((IF((B411*C411)/90000&lt;1,1))+IF((B411*C411)/90000&gt;=1,(B411*C411)/90000),1.1)</x:f>
        <x:v>1</x:v>
      </x:c>
      <x:c r="J411" s="11" t="n">
        <x:f aca="0">SUM(F411*I411)</x:f>
        <x:v>0</x:v>
      </x:c>
      <x:c r="K411" s="11" t="n">
        <x:f aca="0">SUM(H411*J411)</x:f>
        <x:v>0</x:v>
      </x:c>
      <x:c r="L411" s="11"/>
      <x:c r="M411" s="11" t="n">
        <x:f aca="0">SUM(C411-1)</x:f>
        <x:v>-1</x:v>
      </x:c>
      <x:c r="N411" s="11" t="n">
        <x:f aca="0">SUM(B411-1)</x:f>
        <x:v>-1</x:v>
      </x:c>
      <x:c r="O411" s="11" t="n">
        <x:f aca="0">SUM(F411*1)</x:f>
        <x:v>0</x:v>
      </x:c>
      <x:c r="P411" s="11"/>
      <x:c r="Q411" s="11" t="str">
        <x:f aca="0">A411</x:f>
        <x:v>活格板</x:v>
      </x:c>
      <x:c r="R411" s="1" t="n">
        <x:f aca="0">SUM(B411*2+C411*2)*F411</x:f>
        <x:v>0</x:v>
      </x:c>
      <x:c r="T411"/>
    </x:row>
    <x:row r="412" ht="22.200000762939453" hidden="0">
      <x:c r="A412" s="10" t="s">
        <x:v>22</x:v>
      </x:c>
      <x:c r="B412" s="10"/>
      <x:c r="C412" s="10"/>
      <x:c r="D412" s="10" t="n">
        <x:v>18</x:v>
      </x:c>
      <x:c r="E412" s="10"/>
      <x:c r="F412" s="10"/>
      <x:c r="G412" s="10"/>
      <x:c r="H412" s="10" t="n">
        <x:v>69</x:v>
      </x:c>
      <x:c r="I412" s="11" t="n">
        <x:f aca="0">ROUND((IF((B412*C412)/90000&lt;1,1))+IF((B412*C412)/90000&gt;=1,(B412*C412)/90000),1.1)</x:f>
        <x:v>1</x:v>
      </x:c>
      <x:c r="J412" s="11" t="n">
        <x:f aca="0">SUM(F412*I412)</x:f>
        <x:v>0</x:v>
      </x:c>
      <x:c r="K412" s="11" t="n">
        <x:f aca="0">SUM(H412*J412)</x:f>
        <x:v>0</x:v>
      </x:c>
      <x:c r="L412" s="11"/>
      <x:c r="M412" s="11" t="n">
        <x:f aca="0">SUM(C412-1)</x:f>
        <x:v>-1</x:v>
      </x:c>
      <x:c r="N412" s="11" t="n">
        <x:f aca="0">SUM(B412-1)</x:f>
        <x:v>-1</x:v>
      </x:c>
      <x:c r="O412" s="11" t="n">
        <x:f aca="0">SUM(F412*1)</x:f>
        <x:v>0</x:v>
      </x:c>
      <x:c r="P412" s="11"/>
      <x:c r="Q412" s="11" t="str">
        <x:f aca="0">A412</x:f>
        <x:v>活格板</x:v>
      </x:c>
      <x:c r="R412" s="1" t="n">
        <x:f aca="0">SUM(B412*2+C412*2)*F412</x:f>
        <x:v>0</x:v>
      </x:c>
      <x:c r="T412"/>
    </x:row>
    <x:row r="413" ht="22.200000762939453" hidden="0">
      <x:c r="A413" s="10" t="s">
        <x:v>22</x:v>
      </x:c>
      <x:c r="B413" s="10"/>
      <x:c r="C413" s="10"/>
      <x:c r="D413" s="10" t="n">
        <x:v>18</x:v>
      </x:c>
      <x:c r="E413" s="10"/>
      <x:c r="F413" s="10"/>
      <x:c r="G413" s="10"/>
      <x:c r="H413" s="10" t="n">
        <x:v>69</x:v>
      </x:c>
      <x:c r="I413" s="11" t="n">
        <x:f aca="0">ROUND((IF((B413*C413)/90000&lt;1,1))+IF((B413*C413)/90000&gt;=1,(B413*C413)/90000),1.1)</x:f>
        <x:v>1</x:v>
      </x:c>
      <x:c r="J413" s="11" t="n">
        <x:f aca="0">SUM(F413*I413)</x:f>
        <x:v>0</x:v>
      </x:c>
      <x:c r="K413" s="11" t="n">
        <x:f aca="0">SUM(H413*J413)</x:f>
        <x:v>0</x:v>
      </x:c>
      <x:c r="L413" s="11"/>
      <x:c r="M413" s="11" t="n">
        <x:f aca="0">SUM(C413-1)</x:f>
        <x:v>-1</x:v>
      </x:c>
      <x:c r="N413" s="11" t="n">
        <x:f aca="0">SUM(B413-1)</x:f>
        <x:v>-1</x:v>
      </x:c>
      <x:c r="O413" s="11" t="n">
        <x:f aca="0">SUM(F413*1)</x:f>
        <x:v>0</x:v>
      </x:c>
      <x:c r="P413" s="11"/>
      <x:c r="Q413" s="11" t="str">
        <x:f aca="0">A413</x:f>
        <x:v>活格板</x:v>
      </x:c>
      <x:c r="R413" s="1" t="n">
        <x:f aca="0">SUM(B413*2+C413*2)*F413</x:f>
        <x:v>0</x:v>
      </x:c>
      <x:c r="T413"/>
    </x:row>
    <x:row r="414" ht="22.200000762939453" hidden="0">
      <x:c r="A414" s="10" t="s">
        <x:v>23</x:v>
      </x:c>
      <x:c r="B414" s="10"/>
      <x:c r="C414" s="10"/>
      <x:c r="D414" s="10" t="n">
        <x:v>18</x:v>
      </x:c>
      <x:c r="E414" s="10"/>
      <x:c r="F414" s="10"/>
      <x:c r="G414" s="10"/>
      <x:c r="H414" s="10" t="n">
        <x:v>69</x:v>
      </x:c>
      <x:c r="I414" s="11" t="n">
        <x:f aca="0">ROUND((IF((B414*C414)/90000&lt;1,1))+IF((B414*C414)/90000&gt;=1,(B414*C414)/90000),1.1)</x:f>
        <x:v>1</x:v>
      </x:c>
      <x:c r="J414" s="11" t="n">
        <x:f aca="0">SUM(F414*I414)</x:f>
        <x:v>0</x:v>
      </x:c>
      <x:c r="K414" s="11" t="n">
        <x:f aca="0">SUM(H414*J414)</x:f>
        <x:v>0</x:v>
      </x:c>
      <x:c r="L414" s="11"/>
      <x:c r="M414" s="11" t="n">
        <x:f aca="0">SUM(C414-1)</x:f>
        <x:v>-1</x:v>
      </x:c>
      <x:c r="N414" s="11" t="n">
        <x:f aca="0">SUM(B414-1)</x:f>
        <x:v>-1</x:v>
      </x:c>
      <x:c r="O414" s="11" t="n">
        <x:f aca="0">SUM(F414*1)</x:f>
        <x:v>0</x:v>
      </x:c>
      <x:c r="P414" s="11"/>
      <x:c r="Q414" s="11" t="str">
        <x:f aca="0">A414</x:f>
        <x:v>抽框</x:v>
      </x:c>
      <x:c r="R414" s="1" t="n">
        <x:f aca="0">SUM(B414*2+C414*2)*F414</x:f>
        <x:v>0</x:v>
      </x:c>
      <x:c r="T414"/>
    </x:row>
    <x:row r="415" ht="22.200000762939453" hidden="0">
      <x:c r="A415" s="10" t="s">
        <x:v>24</x:v>
      </x:c>
      <x:c r="B415" s="10"/>
      <x:c r="C415" s="10"/>
      <x:c r="D415" s="10" t="n">
        <x:v>18</x:v>
      </x:c>
      <x:c r="E415" s="10"/>
      <x:c r="F415" s="10"/>
      <x:c r="G415" s="10"/>
      <x:c r="H415" s="10" t="n">
        <x:v>69</x:v>
      </x:c>
      <x:c r="I415" s="11" t="n">
        <x:f aca="0">ROUND((IF((B415*C415)/90000&lt;1,1))+IF((B415*C415)/90000&gt;=1,(B415*C415)/90000),1.1)</x:f>
        <x:v>1</x:v>
      </x:c>
      <x:c r="J415" s="11" t="n">
        <x:f aca="0">SUM(F415*I415)</x:f>
        <x:v>0</x:v>
      </x:c>
      <x:c r="K415" s="11" t="n">
        <x:f aca="0">SUM(H415*J415)</x:f>
        <x:v>0</x:v>
      </x:c>
      <x:c r="L415" s="11"/>
      <x:c r="M415" s="11" t="n">
        <x:f aca="0">SUM(C415-1)</x:f>
        <x:v>-1</x:v>
      </x:c>
      <x:c r="N415" s="11" t="n">
        <x:f aca="0">SUM(B415-1)</x:f>
        <x:v>-1</x:v>
      </x:c>
      <x:c r="O415" s="11" t="n">
        <x:f aca="0">SUM(F415*1)</x:f>
        <x:v>0</x:v>
      </x:c>
      <x:c r="P415" s="11"/>
      <x:c r="Q415" s="11" t="str">
        <x:f aca="0">A415</x:f>
        <x:v>框中立</x:v>
      </x:c>
      <x:c r="R415" s="1" t="n">
        <x:f aca="0">SUM(B415*2+C415*2)*F415</x:f>
        <x:v>0</x:v>
      </x:c>
      <x:c r="T415"/>
    </x:row>
    <x:row r="416" ht="22.200000762939453" hidden="0">
      <x:c r="A416" s="10" t="s">
        <x:v>25</x:v>
      </x:c>
      <x:c r="B416" s="10"/>
      <x:c r="C416" s="10"/>
      <x:c r="D416" s="10" t="n">
        <x:v>18</x:v>
      </x:c>
      <x:c r="E416" s="10"/>
      <x:c r="F416" s="10"/>
      <x:c r="G416" s="10"/>
      <x:c r="H416" s="10" t="n">
        <x:v>69</x:v>
      </x:c>
      <x:c r="I416" s="11" t="n">
        <x:f aca="0">ROUND((IF((B416*C416)/90000&lt;1,1))+IF((B416*C416)/90000&gt;=1,(B416*C416)/90000),1.1)</x:f>
        <x:v>1</x:v>
      </x:c>
      <x:c r="J416" s="11" t="n">
        <x:f aca="0">SUM(F416*I416)</x:f>
        <x:v>0</x:v>
      </x:c>
      <x:c r="K416" s="11" t="n">
        <x:f aca="0">SUM(H416*J416)</x:f>
        <x:v>0</x:v>
      </x:c>
      <x:c r="L416" s="11"/>
      <x:c r="M416" s="11" t="n">
        <x:f aca="0">SUM(C416)</x:f>
        <x:v>0</x:v>
      </x:c>
      <x:c r="N416" s="11" t="n">
        <x:f aca="0">SUM(B416-1)</x:f>
        <x:v>-1</x:v>
      </x:c>
      <x:c r="O416" s="11" t="n">
        <x:f aca="0">SUM(F416*1)</x:f>
        <x:v>0</x:v>
      </x:c>
      <x:c r="P416" s="11"/>
      <x:c r="Q416" s="11" t="str">
        <x:f aca="0">A416</x:f>
        <x:v>橫木</x:v>
      </x:c>
      <x:c r="R416" s="1" t="n">
        <x:f aca="0">SUM(C416*2)*F416</x:f>
        <x:v>0</x:v>
      </x:c>
      <x:c r="T416"/>
    </x:row>
    <x:row r="417" ht="22.200000762939453" hidden="0">
      <x:c r="A417" s="10" t="s">
        <x:v>26</x:v>
      </x:c>
      <x:c r="B417" s="10"/>
      <x:c r="C417" s="10"/>
      <x:c r="D417" s="10" t="n">
        <x:v>18</x:v>
      </x:c>
      <x:c r="E417" s="10"/>
      <x:c r="F417" s="10"/>
      <x:c r="G417" s="10"/>
      <x:c r="H417" s="10" t="n">
        <x:v>69</x:v>
      </x:c>
      <x:c r="I417" s="11" t="n">
        <x:f aca="0">ROUND((IF((B417*C417)/90000&lt;1,1))+IF((B417*C417)/90000&gt;=1,(B417*C417)/90000),1.1)</x:f>
        <x:v>1</x:v>
      </x:c>
      <x:c r="J417" s="11" t="n">
        <x:f aca="0">SUM(F417*I417)</x:f>
        <x:v>0</x:v>
      </x:c>
      <x:c r="K417" s="11" t="n">
        <x:f aca="0">SUM(H417*J417)</x:f>
        <x:v>0</x:v>
      </x:c>
      <x:c r="L417" s="11"/>
      <x:c r="M417" s="11" t="n">
        <x:f aca="0">SUM(C417)</x:f>
        <x:v>0</x:v>
      </x:c>
      <x:c r="N417" s="11" t="n">
        <x:f aca="0">SUM(B417-1)</x:f>
        <x:v>-1</x:v>
      </x:c>
      <x:c r="O417" s="11" t="n">
        <x:f aca="0">SUM(F417*1)</x:f>
        <x:v>0</x:v>
      </x:c>
      <x:c r="P417" s="11"/>
      <x:c r="Q417" s="11" t="str">
        <x:f aca="0">A417</x:f>
        <x:v>前抽牆</x:v>
      </x:c>
      <x:c r="R417" s="1" t="n">
        <x:f aca="0">SUM(C417*2)*F417</x:f>
        <x:v>0</x:v>
      </x:c>
      <x:c r="T417"/>
    </x:row>
    <x:row r="418" ht="22.200000762939453" hidden="0">
      <x:c r="A418" s="10" t="s">
        <x:v>26</x:v>
      </x:c>
      <x:c r="B418" s="10"/>
      <x:c r="C418" s="10"/>
      <x:c r="D418" s="10" t="n">
        <x:v>18</x:v>
      </x:c>
      <x:c r="E418" s="10"/>
      <x:c r="F418" s="10"/>
      <x:c r="G418" s="10"/>
      <x:c r="H418" s="10" t="n">
        <x:v>69</x:v>
      </x:c>
      <x:c r="I418" s="11" t="n">
        <x:f aca="0">ROUND((IF((B418*C418)/90000&lt;1,1))+IF((B418*C418)/90000&gt;=1,(B418*C418)/90000),1.1)</x:f>
        <x:v>1</x:v>
      </x:c>
      <x:c r="J418" s="11" t="n">
        <x:f aca="0">SUM(F418*I418)</x:f>
        <x:v>0</x:v>
      </x:c>
      <x:c r="K418" s="11" t="n">
        <x:f aca="0">SUM(H418*J418)</x:f>
        <x:v>0</x:v>
      </x:c>
      <x:c r="L418" s="11"/>
      <x:c r="M418" s="11" t="n">
        <x:f aca="0">SUM(C418)</x:f>
        <x:v>0</x:v>
      </x:c>
      <x:c r="N418" s="11" t="n">
        <x:f aca="0">SUM(B418-1)</x:f>
        <x:v>-1</x:v>
      </x:c>
      <x:c r="O418" s="11" t="n">
        <x:f aca="0">SUM(F418*1)</x:f>
        <x:v>0</x:v>
      </x:c>
      <x:c r="P418" s="11"/>
      <x:c r="Q418" s="11" t="str">
        <x:f aca="0">A418</x:f>
        <x:v>前抽牆</x:v>
      </x:c>
      <x:c r="R418" s="1" t="n">
        <x:f aca="0">SUM(C418*2)*F418</x:f>
        <x:v>0</x:v>
      </x:c>
      <x:c r="T418"/>
    </x:row>
    <x:row r="419" ht="22.200000762939453" hidden="0">
      <x:c r="A419" s="10" t="s">
        <x:v>27</x:v>
      </x:c>
      <x:c r="B419" s="10"/>
      <x:c r="C419" s="10"/>
      <x:c r="D419" s="10" t="n">
        <x:v>18</x:v>
      </x:c>
      <x:c r="E419" s="10"/>
      <x:c r="F419" s="10"/>
      <x:c r="G419" s="10"/>
      <x:c r="H419" s="10" t="n">
        <x:v>69</x:v>
      </x:c>
      <x:c r="I419" s="11" t="n">
        <x:f aca="0">ROUND((IF((B419*C419)/90000&lt;1,1))+IF((B419*C419)/90000&gt;=1,(B419*C419)/90000),1.1)</x:f>
        <x:v>1</x:v>
      </x:c>
      <x:c r="J419" s="11" t="n">
        <x:f aca="0">SUM(F419*I419)</x:f>
        <x:v>0</x:v>
      </x:c>
      <x:c r="K419" s="11" t="n">
        <x:f aca="0">SUM(H419*J419)</x:f>
        <x:v>0</x:v>
      </x:c>
      <x:c r="L419" s="11"/>
      <x:c r="M419" s="11" t="n">
        <x:f aca="0">SUM(C419)</x:f>
        <x:v>0</x:v>
      </x:c>
      <x:c r="N419" s="11" t="n">
        <x:f aca="0">SUM(B419-1)</x:f>
        <x:v>-1</x:v>
      </x:c>
      <x:c r="O419" s="11" t="n">
        <x:f aca="0">SUM(F419*1)</x:f>
        <x:v>0</x:v>
      </x:c>
      <x:c r="P419" s="11"/>
      <x:c r="Q419" s="11" t="str">
        <x:f aca="0">A419</x:f>
        <x:v>邊抽牆</x:v>
      </x:c>
      <x:c r="R419" s="1" t="n">
        <x:f aca="0">SUM(C419*2)*F419</x:f>
        <x:v>0</x:v>
      </x:c>
      <x:c r="T419"/>
    </x:row>
    <x:row r="420" ht="22.200000762939453" hidden="0">
      <x:c r="A420" s="10" t="s">
        <x:v>27</x:v>
      </x:c>
      <x:c r="B420" s="10"/>
      <x:c r="C420" s="10"/>
      <x:c r="D420" s="10" t="n">
        <x:v>18</x:v>
      </x:c>
      <x:c r="E420" s="10"/>
      <x:c r="F420" s="10"/>
      <x:c r="G420" s="10"/>
      <x:c r="H420" s="10" t="n">
        <x:v>69</x:v>
      </x:c>
      <x:c r="I420" s="11" t="n">
        <x:f aca="0">ROUND((IF((B420*C420)/90000&lt;1,1))+IF((B420*C420)/90000&gt;=1,(B420*C420)/90000),1.1)</x:f>
        <x:v>1</x:v>
      </x:c>
      <x:c r="J420" s="11" t="n">
        <x:f aca="0">SUM(F420*I420)</x:f>
        <x:v>0</x:v>
      </x:c>
      <x:c r="K420" s="11" t="n">
        <x:f aca="0">SUM(H420*J420)</x:f>
        <x:v>0</x:v>
      </x:c>
      <x:c r="L420" s="11"/>
      <x:c r="M420" s="11" t="n">
        <x:f aca="0">SUM(C420)</x:f>
        <x:v>0</x:v>
      </x:c>
      <x:c r="N420" s="11" t="n">
        <x:f aca="0">SUM(B420-1)</x:f>
        <x:v>-1</x:v>
      </x:c>
      <x:c r="O420" s="11" t="n">
        <x:f aca="0">SUM(F420*1)</x:f>
        <x:v>0</x:v>
      </x:c>
      <x:c r="P420" s="11"/>
      <x:c r="Q420" s="11" t="str">
        <x:f aca="0">A420</x:f>
        <x:v>邊抽牆</x:v>
      </x:c>
      <x:c r="R420" s="1" t="n">
        <x:f aca="0">SUM(C420*2)*F420</x:f>
        <x:v>0</x:v>
      </x:c>
      <x:c r="T420"/>
    </x:row>
    <x:row r="421" ht="22.200000762939453" hidden="0">
      <x:c r="A421" s="10" t="s">
        <x:v>28</x:v>
      </x:c>
      <x:c r="B421" s="10"/>
      <x:c r="C421" s="10"/>
      <x:c r="D421" s="10" t="n">
        <x:v>8</x:v>
      </x:c>
      <x:c r="E421" s="10"/>
      <x:c r="F421" s="10"/>
      <x:c r="G421" s="10"/>
      <x:c r="H421" s="10" t="n">
        <x:v>50</x:v>
      </x:c>
      <x:c r="I421" s="11" t="n">
        <x:f aca="0">ROUND((IF((B421*C421)/90000&lt;1,1))+IF((B421*C421)/90000&gt;=1,(B421*C421)/90000),1.1)</x:f>
        <x:v>1</x:v>
      </x:c>
      <x:c r="J421" s="11" t="n">
        <x:f aca="0">SUM(F421*I421)</x:f>
        <x:v>0</x:v>
      </x:c>
      <x:c r="K421" s="11" t="n">
        <x:f aca="0">SUM(H421*J421)</x:f>
        <x:v>0</x:v>
      </x:c>
      <x:c r="L421" s="11"/>
      <x:c r="M421" s="11" t="n">
        <x:f aca="0">SUM(C421)</x:f>
        <x:v>0</x:v>
      </x:c>
      <x:c r="N421" s="11" t="n">
        <x:f aca="0">SUM(B421)</x:f>
        <x:v>0</x:v>
      </x:c>
      <x:c r="O421" s="11" t="n">
        <x:f aca="0">SUM(F421*1)</x:f>
        <x:v>0</x:v>
      </x:c>
      <x:c r="P421" s="11"/>
      <x:c r="Q421" s="11" t="str">
        <x:f aca="0">A421</x:f>
        <x:v>抽底板</x:v>
      </x:c>
      <x:c r="T421"/>
    </x:row>
    <x:row r="422" ht="22.200000762939453" hidden="0">
      <x:c r="A422" s="10" t="s">
        <x:v>28</x:v>
      </x:c>
      <x:c r="B422" s="10"/>
      <x:c r="C422" s="10"/>
      <x:c r="D422" s="10" t="n">
        <x:v>8</x:v>
      </x:c>
      <x:c r="E422" s="10"/>
      <x:c r="F422" s="10"/>
      <x:c r="G422" s="10"/>
      <x:c r="H422" s="10" t="n">
        <x:v>50</x:v>
      </x:c>
      <x:c r="I422" s="11" t="n">
        <x:f aca="0">ROUND((IF((B422*C422)/90000&lt;1,1))+IF((B422*C422)/90000&gt;=1,(B422*C422)/90000),1.1)</x:f>
        <x:v>1</x:v>
      </x:c>
      <x:c r="J422" s="11" t="n">
        <x:f aca="0">SUM(F422*I422)</x:f>
        <x:v>0</x:v>
      </x:c>
      <x:c r="K422" s="11" t="n">
        <x:f aca="0">SUM(H422*J422)</x:f>
        <x:v>0</x:v>
      </x:c>
      <x:c r="L422" s="11"/>
      <x:c r="M422" s="11" t="n">
        <x:f aca="0">SUM(C422)</x:f>
        <x:v>0</x:v>
      </x:c>
      <x:c r="N422" s="11" t="n">
        <x:f aca="0">SUM(B422)</x:f>
        <x:v>0</x:v>
      </x:c>
      <x:c r="O422" s="11" t="n">
        <x:f aca="0">SUM(F422*1)</x:f>
        <x:v>0</x:v>
      </x:c>
      <x:c r="P422" s="11"/>
      <x:c r="Q422" s="11" t="str">
        <x:f aca="0">A422</x:f>
        <x:v>抽底板</x:v>
      </x:c>
      <x:c r="T422"/>
    </x:row>
    <x:row r="423" ht="22.200000762939453" hidden="0">
      <x:c r="A423" s="12" t="s">
        <x:v>64</x:v>
      </x:c>
      <x:c r="B423" s="10"/>
      <x:c r="C423" s="10"/>
      <x:c r="D423" s="10" t="n">
        <x:v>18</x:v>
      </x:c>
      <x:c r="E423" s="10"/>
      <x:c r="F423" s="10"/>
      <x:c r="G423" s="10"/>
      <x:c r="H423" s="10" t="n">
        <x:v>84</x:v>
      </x:c>
      <x:c r="I423" s="11" t="n">
        <x:f aca="0">ROUND((IF((B423*C423)/90000&lt;1,1))+IF((B423*C423)/90000&gt;=1,(B423*C423)/90000),1.1)</x:f>
        <x:v>1</x:v>
      </x:c>
      <x:c r="J423" s="11" t="n">
        <x:f aca="0">SUM(F423*I423)</x:f>
        <x:v>0</x:v>
      </x:c>
      <x:c r="K423" s="11" t="n">
        <x:f aca="0">SUM(H423*J423)</x:f>
        <x:v>0</x:v>
      </x:c>
      <x:c r="L423" s="11"/>
      <x:c r="M423" s="11" t="n">
        <x:f aca="0">SUM(C423-2)</x:f>
        <x:v>-2</x:v>
      </x:c>
      <x:c r="N423" s="11" t="n">
        <x:f aca="0">SUM(B423-2)</x:f>
        <x:v>-2</x:v>
      </x:c>
      <x:c r="O423" s="11" t="n">
        <x:f aca="0">SUM(F423*1)</x:f>
        <x:v>0</x:v>
      </x:c>
      <x:c r="P423" s="11"/>
      <x:c r="Q423" s="11" t="str">
        <x:f aca="0">A423</x:f>
        <x:v>4E門板</x:v>
      </x:c>
      <x:c r="S423" s="1" t="n">
        <x:f aca="0">SUM(B423*2+C423*2)*F423</x:f>
        <x:v>0</x:v>
      </x:c>
      <x:c r="T423"/>
    </x:row>
    <x:row r="424" ht="22.200000762939453" hidden="0">
      <x:c r="A424" s="12" t="s">
        <x:v>64</x:v>
      </x:c>
      <x:c r="B424" s="10"/>
      <x:c r="C424" s="10"/>
      <x:c r="D424" s="10" t="n">
        <x:v>18</x:v>
      </x:c>
      <x:c r="E424" s="10"/>
      <x:c r="F424" s="10"/>
      <x:c r="G424" s="10"/>
      <x:c r="H424" s="10" t="n">
        <x:v>84</x:v>
      </x:c>
      <x:c r="I424" s="11" t="n">
        <x:f aca="0">ROUND((IF((B424*C424)/90000&lt;1,1))+IF((B424*C424)/90000&gt;=1,(B424*C424)/90000),1.1)</x:f>
        <x:v>1</x:v>
      </x:c>
      <x:c r="J424" s="11" t="n">
        <x:f aca="0">SUM(F424*I424)</x:f>
        <x:v>0</x:v>
      </x:c>
      <x:c r="K424" s="11" t="n">
        <x:f aca="0">SUM(H424*J424)</x:f>
        <x:v>0</x:v>
      </x:c>
      <x:c r="L424" s="11"/>
      <x:c r="M424" s="11" t="n">
        <x:f aca="0">SUM(C424-2)</x:f>
        <x:v>-2</x:v>
      </x:c>
      <x:c r="N424" s="11" t="n">
        <x:f aca="0">SUM(B424-2)</x:f>
        <x:v>-2</x:v>
      </x:c>
      <x:c r="O424" s="11" t="n">
        <x:f aca="0">SUM(F424*1)</x:f>
        <x:v>0</x:v>
      </x:c>
      <x:c r="P424" s="11"/>
      <x:c r="Q424" s="11" t="str">
        <x:f aca="0">A424</x:f>
        <x:v>4E門板</x:v>
      </x:c>
      <x:c r="S424" s="1" t="n">
        <x:f aca="0">SUM(B424*2+C424*2)*F424</x:f>
        <x:v>0</x:v>
      </x:c>
      <x:c r="T424"/>
    </x:row>
    <x:row r="425" ht="22.200000762939453" hidden="0">
      <x:c r="A425" s="12" t="s">
        <x:v>64</x:v>
      </x:c>
      <x:c r="B425" s="10"/>
      <x:c r="C425" s="10"/>
      <x:c r="D425" s="10" t="n">
        <x:v>18</x:v>
      </x:c>
      <x:c r="E425" s="10"/>
      <x:c r="F425" s="10"/>
      <x:c r="G425" s="10"/>
      <x:c r="H425" s="10" t="n">
        <x:v>84</x:v>
      </x:c>
      <x:c r="I425" s="11" t="n">
        <x:f aca="0">ROUND((IF((B425*C425)/90000&lt;1,1))+IF((B425*C425)/90000&gt;=1,(B425*C425)/90000),1.1)</x:f>
        <x:v>1</x:v>
      </x:c>
      <x:c r="J425" s="11" t="n">
        <x:f aca="0">SUM(F425*I425)</x:f>
        <x:v>0</x:v>
      </x:c>
      <x:c r="K425" s="11" t="n">
        <x:f aca="0">SUM(H425*J425)</x:f>
        <x:v>0</x:v>
      </x:c>
      <x:c r="L425" s="11"/>
      <x:c r="M425" s="11" t="n">
        <x:f aca="0">SUM(C425-2)</x:f>
        <x:v>-2</x:v>
      </x:c>
      <x:c r="N425" s="11" t="n">
        <x:f aca="0">SUM(B425-2)</x:f>
        <x:v>-2</x:v>
      </x:c>
      <x:c r="O425" s="11" t="n">
        <x:f aca="0">SUM(F425*1)</x:f>
        <x:v>0</x:v>
      </x:c>
      <x:c r="P425" s="11"/>
      <x:c r="Q425" s="11" t="str">
        <x:f aca="0">A425</x:f>
        <x:v>4E門板</x:v>
      </x:c>
      <x:c r="S425" s="1" t="n">
        <x:f aca="0">SUM(B425*2+C425*2)*F425</x:f>
        <x:v>0</x:v>
      </x:c>
      <x:c r="T425"/>
    </x:row>
    <x:row r="426" ht="22.200000762939453" hidden="0">
      <x:c r="A426" s="10" t="s">
        <x:v>30</x:v>
      </x:c>
      <x:c r="B426" s="10"/>
      <x:c r="C426" s="10"/>
      <x:c r="D426" s="10" t="n">
        <x:v>18</x:v>
      </x:c>
      <x:c r="E426" s="10"/>
      <x:c r="F426" s="10"/>
      <x:c r="G426" s="10"/>
      <x:c r="H426" s="10" t="n">
        <x:v>84</x:v>
      </x:c>
      <x:c r="I426" s="11" t="n">
        <x:f aca="0">ROUND((IF((B426*C426)/90000&lt;1,1))+IF((B426*C426)/90000&gt;=1,(B426*C426)/90000),1.1)</x:f>
        <x:v>1</x:v>
      </x:c>
      <x:c r="J426" s="11" t="n">
        <x:f aca="0">SUM(F426*I426)</x:f>
        <x:v>0</x:v>
      </x:c>
      <x:c r="K426" s="11" t="n">
        <x:f aca="0">SUM(H426*J426)</x:f>
        <x:v>0</x:v>
      </x:c>
      <x:c r="L426" s="11"/>
      <x:c r="M426" s="11" t="n">
        <x:f aca="0">SUM(C426-2)</x:f>
        <x:v>-2</x:v>
      </x:c>
      <x:c r="N426" s="11" t="n">
        <x:f aca="0">SUM(B426-2)</x:f>
        <x:v>-2</x:v>
      </x:c>
      <x:c r="O426" s="11" t="n">
        <x:f aca="0">SUM(F426*1)</x:f>
        <x:v>0</x:v>
      </x:c>
      <x:c r="P426" s="11"/>
      <x:c r="Q426" s="11" t="str">
        <x:f aca="0">A426</x:f>
        <x:v>假門板</x:v>
      </x:c>
      <x:c r="S426" s="1" t="n">
        <x:f aca="0">SUM(B426*2+C426*2)*F426</x:f>
        <x:v>0</x:v>
      </x:c>
      <x:c r="T426"/>
    </x:row>
    <x:row r="427" ht="22.200000762939453" hidden="0">
      <x:c r="A427" s="10" t="s">
        <x:v>31</x:v>
      </x:c>
      <x:c r="B427" s="10"/>
      <x:c r="C427" s="10"/>
      <x:c r="D427" s="10" t="n">
        <x:v>18</x:v>
      </x:c>
      <x:c r="E427" s="10"/>
      <x:c r="F427" s="10"/>
      <x:c r="G427" s="10"/>
      <x:c r="H427" s="10" t="n">
        <x:v>84</x:v>
      </x:c>
      <x:c r="I427" s="11" t="n">
        <x:f aca="0">ROUND((IF((B427*C427)/90000&lt;1,1))+IF((B427*C427)/90000&gt;=1,(B427*C427)/90000),1.1)</x:f>
        <x:v>1</x:v>
      </x:c>
      <x:c r="J427" s="11" t="n">
        <x:f aca="0">SUM(F427*I427)</x:f>
        <x:v>0</x:v>
      </x:c>
      <x:c r="K427" s="11" t="n">
        <x:f aca="0">SUM(H427*J427)</x:f>
        <x:v>0</x:v>
      </x:c>
      <x:c r="L427" s="11"/>
      <x:c r="M427" s="11" t="n">
        <x:f aca="0">SUM(C427-2)</x:f>
        <x:v>-2</x:v>
      </x:c>
      <x:c r="N427" s="11" t="n">
        <x:f aca="0">SUM(B427-2)</x:f>
        <x:v>-2</x:v>
      </x:c>
      <x:c r="O427" s="11" t="n">
        <x:f aca="0">SUM(F427*1)</x:f>
        <x:v>0</x:v>
      </x:c>
      <x:c r="P427" s="11"/>
      <x:c r="Q427" s="11" t="str">
        <x:f aca="0">A427</x:f>
        <x:v>屜頭</x:v>
      </x:c>
      <x:c r="S427" s="1" t="n">
        <x:f aca="0">SUM(B427*2+C427*2)*F427</x:f>
        <x:v>0</x:v>
      </x:c>
      <x:c r="T427"/>
    </x:row>
    <x:row r="428" ht="22.200000762939453" hidden="0">
      <x:c r="A428" s="10" t="s">
        <x:v>32</x:v>
      </x:c>
      <x:c r="B428" s="10"/>
      <x:c r="C428" s="10"/>
      <x:c r="D428" s="10" t="n">
        <x:v>18</x:v>
      </x:c>
      <x:c r="E428" s="10"/>
      <x:c r="F428" s="10"/>
      <x:c r="G428" s="10"/>
      <x:c r="H428" s="10" t="n">
        <x:v>74</x:v>
      </x:c>
      <x:c r="I428" s="11" t="n">
        <x:f aca="0">ROUND((IF((B428*C428)/90000&lt;1,1))+IF((B428*C428)/90000&gt;=1,(B428*C428)/90000),1.1)</x:f>
        <x:v>1</x:v>
      </x:c>
      <x:c r="J428" s="11" t="n">
        <x:f aca="0">SUM(F428*I428)</x:f>
        <x:v>0</x:v>
      </x:c>
      <x:c r="K428" s="11" t="n">
        <x:f aca="0">SUM(H428*J428)</x:f>
        <x:v>0</x:v>
      </x:c>
      <x:c r="L428" s="11"/>
      <x:c r="M428" s="11" t="n">
        <x:f aca="0">SUM(C428-1)</x:f>
        <x:v>-1</x:v>
      </x:c>
      <x:c r="N428" s="11" t="n">
        <x:f aca="0">SUM(B428)</x:f>
        <x:v>0</x:v>
      </x:c>
      <x:c r="O428" s="11" t="n">
        <x:f aca="0">SUM(F428*1)</x:f>
        <x:v>0</x:v>
      </x:c>
      <x:c r="P428" s="11"/>
      <x:c r="Q428" s="11" t="str">
        <x:f aca="0">A428</x:f>
        <x:v>推門</x:v>
      </x:c>
      <x:c r="R428" s="1" t="n">
        <x:f aca="0">SUM(B428*2+C428*2)*F428</x:f>
        <x:v>0</x:v>
      </x:c>
      <x:c r="T428"/>
    </x:row>
    <x:row r="429" ht="22.200000762939453" hidden="0">
      <x:c r="A429" s="10" t="s">
        <x:v>33</x:v>
      </x:c>
      <x:c r="B429" s="10"/>
      <x:c r="C429" s="10"/>
      <x:c r="D429" s="10" t="n">
        <x:v>18</x:v>
      </x:c>
      <x:c r="E429" s="10"/>
      <x:c r="F429" s="10"/>
      <x:c r="G429" s="10"/>
      <x:c r="H429" s="10" t="n">
        <x:v>74</x:v>
      </x:c>
      <x:c r="I429" s="11" t="n">
        <x:f aca="0">ROUND((IF((B429*C429)/90000&lt;1,1))+IF((B429*C429)/90000&gt;=1,(B429*C429)/90000),1.1)</x:f>
        <x:v>1</x:v>
      </x:c>
      <x:c r="J429" s="11" t="n">
        <x:f aca="0">SUM(F429*I429)</x:f>
        <x:v>0</x:v>
      </x:c>
      <x:c r="K429" s="11" t="n">
        <x:f aca="0">SUM(H429*J429)</x:f>
        <x:v>0</x:v>
      </x:c>
      <x:c r="L429" s="11"/>
      <x:c r="M429" s="11" t="n">
        <x:f aca="0">SUM(C429)</x:f>
        <x:v>0</x:v>
      </x:c>
      <x:c r="N429" s="11" t="n">
        <x:f aca="0">SUM(B429-1)</x:f>
        <x:v>-1</x:v>
      </x:c>
      <x:c r="O429" s="11" t="n">
        <x:f aca="0">SUM(F429*1)</x:f>
        <x:v>0</x:v>
      </x:c>
      <x:c r="P429" s="11"/>
      <x:c r="Q429" s="11" t="str">
        <x:f aca="0">A429</x:f>
        <x:v>側封板</x:v>
      </x:c>
      <x:c r="R429" s="1" t="n">
        <x:f aca="0">SUM(+C429*1)*F429</x:f>
        <x:v>0</x:v>
      </x:c>
      <x:c r="S429" s="1" t="n">
        <x:f aca="0">SUM(C429*1)*F429</x:f>
        <x:v>0</x:v>
      </x:c>
      <x:c r="T429"/>
    </x:row>
    <x:row r="430" ht="22.200000762939453" hidden="0">
      <x:c r="A430" s="10" t="s">
        <x:v>33</x:v>
      </x:c>
      <x:c r="B430" s="10"/>
      <x:c r="C430" s="10"/>
      <x:c r="D430" s="10" t="n">
        <x:v>18</x:v>
      </x:c>
      <x:c r="E430" s="10"/>
      <x:c r="F430" s="10"/>
      <x:c r="G430" s="10"/>
      <x:c r="H430" s="10" t="n">
        <x:v>74</x:v>
      </x:c>
      <x:c r="I430" s="11" t="n">
        <x:f aca="0">ROUND((IF((B430*C430)/90000&lt;1,1))+IF((B430*C430)/90000&gt;=1,(B430*C430)/90000),1.1)</x:f>
        <x:v>1</x:v>
      </x:c>
      <x:c r="J430" s="11" t="n">
        <x:f aca="0">SUM(F430*I430)</x:f>
        <x:v>0</x:v>
      </x:c>
      <x:c r="K430" s="11" t="n">
        <x:f aca="0">SUM(H430*J430)</x:f>
        <x:v>0</x:v>
      </x:c>
      <x:c r="L430" s="11"/>
      <x:c r="M430" s="11" t="n">
        <x:f aca="0">SUM(C430)</x:f>
        <x:v>0</x:v>
      </x:c>
      <x:c r="N430" s="11" t="n">
        <x:f aca="0">SUM(B430-1)</x:f>
        <x:v>-1</x:v>
      </x:c>
      <x:c r="O430" s="11" t="n">
        <x:f aca="0">SUM(F430*1)</x:f>
        <x:v>0</x:v>
      </x:c>
      <x:c r="P430" s="11"/>
      <x:c r="Q430" s="11" t="str">
        <x:f aca="0">A430</x:f>
        <x:v>側封板</x:v>
      </x:c>
      <x:c r="R430" s="1" t="n">
        <x:f aca="0">SUM(+C430*1)*F430</x:f>
        <x:v>0</x:v>
      </x:c>
      <x:c r="S430" s="1" t="n">
        <x:f aca="0">SUM(C430*1)*F430</x:f>
        <x:v>0</x:v>
      </x:c>
      <x:c r="T430"/>
    </x:row>
    <x:row r="431" ht="22.200000762939453" hidden="0">
      <x:c r="A431" s="10" t="s">
        <x:v>34</x:v>
      </x:c>
      <x:c r="B431" s="10"/>
      <x:c r="C431" s="10"/>
      <x:c r="D431" s="10" t="n">
        <x:v>18</x:v>
      </x:c>
      <x:c r="E431" s="10"/>
      <x:c r="F431" s="10"/>
      <x:c r="G431" s="10"/>
      <x:c r="H431" s="10" t="n">
        <x:v>74</x:v>
      </x:c>
      <x:c r="I431" s="11" t="n">
        <x:f aca="0">ROUND((IF((B431*C431)/90000&lt;1,1))+IF((B431*C431)/90000&gt;=1,(B431*C431)/90000),1.1)</x:f>
        <x:v>1</x:v>
      </x:c>
      <x:c r="J431" s="11" t="n">
        <x:f aca="0">SUM(F431*I431)</x:f>
        <x:v>0</x:v>
      </x:c>
      <x:c r="K431" s="11" t="n">
        <x:f aca="0">SUM(H431*J431)</x:f>
        <x:v>0</x:v>
      </x:c>
      <x:c r="L431" s="11"/>
      <x:c r="M431" s="11" t="n">
        <x:f aca="0">SUM(C431)</x:f>
        <x:v>0</x:v>
      </x:c>
      <x:c r="N431" s="11" t="n">
        <x:f aca="0">SUM(B431-1)</x:f>
        <x:v>-1</x:v>
      </x:c>
      <x:c r="O431" s="11" t="n">
        <x:f aca="0">SUM(F431*1)</x:f>
        <x:v>0</x:v>
      </x:c>
      <x:c r="P431" s="11"/>
      <x:c r="Q431" s="11" t="str">
        <x:f aca="0">A431</x:f>
        <x:v>軌道板</x:v>
      </x:c>
      <x:c r="R431" s="1" t="n">
        <x:f aca="0">SUM(+C431*1)*F431</x:f>
        <x:v>0</x:v>
      </x:c>
      <x:c r="S431" s="1" t="n">
        <x:f aca="0">SUM(C431*1)*F431</x:f>
        <x:v>0</x:v>
      </x:c>
      <x:c r="T431"/>
    </x:row>
    <x:row r="432" ht="22.200000762939453" hidden="0">
      <x:c r="A432" s="10" t="s">
        <x:v>34</x:v>
      </x:c>
      <x:c r="B432" s="10"/>
      <x:c r="C432" s="10"/>
      <x:c r="D432" s="10" t="n">
        <x:v>18</x:v>
      </x:c>
      <x:c r="E432" s="10"/>
      <x:c r="F432" s="10"/>
      <x:c r="G432" s="10"/>
      <x:c r="H432" s="10" t="n">
        <x:v>74</x:v>
      </x:c>
      <x:c r="I432" s="11" t="n">
        <x:f aca="0">ROUND((IF((B432*C432)/90000&lt;1,1))+IF((B432*C432)/90000&gt;=1,(B432*C432)/90000),1.1)</x:f>
        <x:v>1</x:v>
      </x:c>
      <x:c r="J432" s="11" t="n">
        <x:f aca="0">SUM(F432*I432)</x:f>
        <x:v>0</x:v>
      </x:c>
      <x:c r="K432" s="11" t="n">
        <x:f aca="0">SUM(H432*J432)</x:f>
        <x:v>0</x:v>
      </x:c>
      <x:c r="L432" s="11"/>
      <x:c r="M432" s="11" t="n">
        <x:f aca="0">SUM(C432)</x:f>
        <x:v>0</x:v>
      </x:c>
      <x:c r="N432" s="11" t="n">
        <x:f aca="0">SUM(B432-1)</x:f>
        <x:v>-1</x:v>
      </x:c>
      <x:c r="O432" s="11" t="n">
        <x:f aca="0">SUM(F432*1)</x:f>
        <x:v>0</x:v>
      </x:c>
      <x:c r="P432" s="11"/>
      <x:c r="Q432" s="11" t="str">
        <x:f aca="0">A432</x:f>
        <x:v>軌道板</x:v>
      </x:c>
      <x:c r="R432" s="1" t="n">
        <x:f aca="0">SUM(+C432*1)*F432</x:f>
        <x:v>0</x:v>
      </x:c>
      <x:c r="S432" s="1" t="n">
        <x:f aca="0">SUM(C432*1)*F432</x:f>
        <x:v>0</x:v>
      </x:c>
      <x:c r="T432"/>
    </x:row>
    <x:row r="433" ht="22.200000762939453" hidden="0">
      <x:c r="A433" s="10" t="s">
        <x:v>35</x:v>
      </x:c>
      <x:c r="B433" s="10"/>
      <x:c r="C433" s="10"/>
      <x:c r="D433" s="10" t="n">
        <x:v>18</x:v>
      </x:c>
      <x:c r="E433" s="10"/>
      <x:c r="F433" s="10"/>
      <x:c r="G433" s="10"/>
      <x:c r="H433" s="10" t="n">
        <x:v>69</x:v>
      </x:c>
      <x:c r="I433" s="11" t="n">
        <x:f aca="0">ROUND((IF((B433*C433)/90000&lt;1,1))+IF((B433*C433)/90000&gt;=1,(B433*C433)/90000),1.1)</x:f>
        <x:v>1</x:v>
      </x:c>
      <x:c r="J433" s="11" t="n">
        <x:f aca="0">SUM(F433*I433)</x:f>
        <x:v>0</x:v>
      </x:c>
      <x:c r="K433" s="11" t="n">
        <x:f aca="0">SUM(H433*J433)</x:f>
        <x:v>0</x:v>
      </x:c>
      <x:c r="L433" s="11"/>
      <x:c r="M433" s="11" t="n">
        <x:f aca="0">SUM(C433)</x:f>
        <x:v>0</x:v>
      </x:c>
      <x:c r="N433" s="11" t="n">
        <x:f aca="0">SUM(B433-1)</x:f>
        <x:v>-1</x:v>
      </x:c>
      <x:c r="O433" s="11" t="n">
        <x:f aca="0">SUM(F433*1)</x:f>
        <x:v>0</x:v>
      </x:c>
      <x:c r="P433" s="11"/>
      <x:c r="Q433" s="11" t="str">
        <x:f aca="0">A433</x:f>
        <x:v>擋板</x:v>
      </x:c>
      <x:c r="R433" s="1" t="n">
        <x:f aca="0">SUM(C433*2)*F433</x:f>
        <x:v>0</x:v>
      </x:c>
      <x:c r="T433"/>
    </x:row>
    <x:row r="434" ht="22.200000762939453" hidden="0">
      <x:c r="A434" s="10" t="s">
        <x:v>35</x:v>
      </x:c>
      <x:c r="B434" s="10"/>
      <x:c r="C434" s="10"/>
      <x:c r="D434" s="10" t="n">
        <x:v>18</x:v>
      </x:c>
      <x:c r="E434" s="10"/>
      <x:c r="F434" s="10"/>
      <x:c r="G434" s="10"/>
      <x:c r="H434" s="10" t="n">
        <x:v>69</x:v>
      </x:c>
      <x:c r="I434" s="11" t="n">
        <x:f aca="0">ROUND((IF((B434*C434)/90000&lt;1,1))+IF((B434*C434)/90000&gt;=1,(B434*C434)/90000),1.1)</x:f>
        <x:v>1</x:v>
      </x:c>
      <x:c r="J434" s="11" t="n">
        <x:f aca="0">SUM(F434*I434)</x:f>
        <x:v>0</x:v>
      </x:c>
      <x:c r="K434" s="11" t="n">
        <x:f aca="0">SUM(H434*J434)</x:f>
        <x:v>0</x:v>
      </x:c>
      <x:c r="L434" s="11"/>
      <x:c r="M434" s="11" t="n">
        <x:f aca="0">SUM(C434)</x:f>
        <x:v>0</x:v>
      </x:c>
      <x:c r="N434" s="11" t="n">
        <x:f aca="0">SUM(B434-1)</x:f>
        <x:v>-1</x:v>
      </x:c>
      <x:c r="O434" s="11" t="n">
        <x:f aca="0">SUM(F434*1)</x:f>
        <x:v>0</x:v>
      </x:c>
      <x:c r="P434" s="11"/>
      <x:c r="Q434" s="11" t="str">
        <x:f aca="0">A434</x:f>
        <x:v>擋板</x:v>
      </x:c>
      <x:c r="R434" s="1" t="n">
        <x:f aca="0">SUM(C434*2)*F434</x:f>
        <x:v>0</x:v>
      </x:c>
      <x:c r="T434"/>
    </x:row>
    <x:row r="435" ht="22.200000762939453" hidden="0">
      <x:c r="A435" s="10" t="s">
        <x:v>36</x:v>
      </x:c>
      <x:c r="B435" s="10"/>
      <x:c r="C435" s="10"/>
      <x:c r="D435" s="10" t="n">
        <x:v>8</x:v>
      </x:c>
      <x:c r="E435" s="10"/>
      <x:c r="F435" s="10"/>
      <x:c r="G435" s="10"/>
      <x:c r="H435" s="10" t="n">
        <x:v>69</x:v>
      </x:c>
      <x:c r="I435" s="11" t="n">
        <x:f aca="0">ROUND((IF((B435*C435)/90000&lt;1,1))+IF((B435*C435)/90000&gt;=1,(B435*C435)/90000),1.1)</x:f>
        <x:v>1</x:v>
      </x:c>
      <x:c r="J435" s="11" t="n">
        <x:f aca="0">SUM(F435*I435)</x:f>
        <x:v>0</x:v>
      </x:c>
      <x:c r="K435" s="11" t="n">
        <x:f aca="0">SUM(H435*J435)</x:f>
        <x:v>0</x:v>
      </x:c>
      <x:c r="L435" s="11"/>
      <x:c r="M435" s="11" t="n">
        <x:f aca="0">SUM(C435)</x:f>
        <x:v>0</x:v>
      </x:c>
      <x:c r="N435" s="11" t="n">
        <x:f aca="0">SUM(B435-1)</x:f>
        <x:v>-1</x:v>
      </x:c>
      <x:c r="O435" s="11" t="n">
        <x:f aca="0">SUM(F435*1)</x:f>
        <x:v>0</x:v>
      </x:c>
      <x:c r="P435" s="11"/>
      <x:c r="Q435" s="11" t="str">
        <x:f aca="0">A435</x:f>
        <x:v>襯板</x:v>
      </x:c>
      <x:c r="R435" s="1" t="n">
        <x:f aca="0">SUM(C435*2)*F435</x:f>
        <x:v>0</x:v>
      </x:c>
      <x:c r="T435"/>
    </x:row>
    <x:row r="436" ht="22.200000762939453" hidden="0">
      <x:c r="A436" s="10" t="s">
        <x:v>36</x:v>
      </x:c>
      <x:c r="B436" s="10"/>
      <x:c r="C436" s="10"/>
      <x:c r="D436" s="10" t="n">
        <x:v>8</x:v>
      </x:c>
      <x:c r="E436" s="10"/>
      <x:c r="F436" s="10"/>
      <x:c r="G436" s="10"/>
      <x:c r="H436" s="10" t="n">
        <x:v>69</x:v>
      </x:c>
      <x:c r="I436" s="11" t="n">
        <x:f aca="0">ROUND((IF((B436*C436)/90000&lt;1,1))+IF((B436*C436)/90000&gt;=1,(B436*C436)/90000),1.1)</x:f>
        <x:v>1</x:v>
      </x:c>
      <x:c r="J436" s="11" t="n">
        <x:f aca="0">SUM(F436*I436)</x:f>
        <x:v>0</x:v>
      </x:c>
      <x:c r="K436" s="11" t="n">
        <x:f aca="0">SUM(H436*J436)</x:f>
        <x:v>0</x:v>
      </x:c>
      <x:c r="L436" s="11"/>
      <x:c r="M436" s="11" t="n">
        <x:f aca="0">SUM(C436)</x:f>
        <x:v>0</x:v>
      </x:c>
      <x:c r="N436" s="11" t="n">
        <x:f aca="0">SUM(B436-1)</x:f>
        <x:v>-1</x:v>
      </x:c>
      <x:c r="O436" s="11" t="n">
        <x:f aca="0">SUM(F436*1)</x:f>
        <x:v>0</x:v>
      </x:c>
      <x:c r="P436" s="11"/>
      <x:c r="Q436" s="11" t="str">
        <x:f aca="0">A436</x:f>
        <x:v>襯板</x:v>
      </x:c>
      <x:c r="R436" s="1" t="n">
        <x:f aca="0">SUM(C436*2)*F436</x:f>
        <x:v>0</x:v>
      </x:c>
      <x:c r="T436"/>
    </x:row>
    <x:row r="437" ht="22.200000762939453" hidden="0">
      <x:c r="A437" s="10" t="s">
        <x:v>37</x:v>
      </x:c>
      <x:c r="B437" s="10"/>
      <x:c r="C437" s="10"/>
      <x:c r="D437" s="10" t="n">
        <x:v>8</x:v>
      </x:c>
      <x:c r="E437" s="10"/>
      <x:c r="F437" s="10"/>
      <x:c r="G437" s="10"/>
      <x:c r="H437" s="10" t="n">
        <x:v>50</x:v>
      </x:c>
      <x:c r="I437" s="11" t="n">
        <x:f aca="0">ROUND((IF((B437*C437)/90000&lt;1,1))+IF((B437*C437)/90000&gt;=1,(B437*C437)/90000),1.1)</x:f>
        <x:v>1</x:v>
      </x:c>
      <x:c r="J437" s="11" t="n">
        <x:f aca="0">SUM(F437*I437)</x:f>
        <x:v>0</x:v>
      </x:c>
      <x:c r="K437" s="11" t="n">
        <x:f aca="0">SUM(H437*J437)</x:f>
        <x:v>0</x:v>
      </x:c>
      <x:c r="L437" s="11"/>
      <x:c r="M437" s="11" t="n">
        <x:f aca="0">SUM(C437)</x:f>
        <x:v>0</x:v>
      </x:c>
      <x:c r="N437" s="11" t="n">
        <x:f aca="0">SUM(B437)</x:f>
        <x:v>0</x:v>
      </x:c>
      <x:c r="O437" s="11" t="n">
        <x:f aca="0">SUM(F437*1)</x:f>
        <x:v>0</x:v>
      </x:c>
      <x:c r="P437" s="11"/>
      <x:c r="Q437" s="11" t="str">
        <x:f aca="0">A437</x:f>
        <x:v>背板</x:v>
      </x:c>
      <x:c r="T437"/>
    </x:row>
    <x:row r="438" ht="22.200000762939453" hidden="0">
      <x:c r="A438" s="10" t="s">
        <x:v>37</x:v>
      </x:c>
      <x:c r="B438" s="10"/>
      <x:c r="C438" s="10"/>
      <x:c r="D438" s="10" t="n">
        <x:v>8</x:v>
      </x:c>
      <x:c r="E438" s="10"/>
      <x:c r="F438" s="10"/>
      <x:c r="G438" s="10"/>
      <x:c r="H438" s="10" t="n">
        <x:v>50</x:v>
      </x:c>
      <x:c r="I438" s="11" t="n">
        <x:f aca="0">ROUND((IF((B438*C438)/90000&lt;1,1))+IF((B438*C438)/90000&gt;=1,(B438*C438)/90000),1.1)</x:f>
        <x:v>1</x:v>
      </x:c>
      <x:c r="J438" s="11" t="n">
        <x:f aca="0">SUM(F438*I438)</x:f>
        <x:v>0</x:v>
      </x:c>
      <x:c r="K438" s="11" t="n">
        <x:f aca="0">SUM(H438*J438)</x:f>
        <x:v>0</x:v>
      </x:c>
      <x:c r="L438" s="11"/>
      <x:c r="M438" s="11" t="n">
        <x:f aca="0">SUM(C438)</x:f>
        <x:v>0</x:v>
      </x:c>
      <x:c r="N438" s="11" t="n">
        <x:f aca="0">SUM(B438)</x:f>
        <x:v>0</x:v>
      </x:c>
      <x:c r="O438" s="11" t="n">
        <x:f aca="0">SUM(F438*1)</x:f>
        <x:v>0</x:v>
      </x:c>
      <x:c r="P438" s="11"/>
      <x:c r="Q438" s="11" t="str">
        <x:f aca="0">A438</x:f>
        <x:v>背板</x:v>
      </x:c>
      <x:c r="T438"/>
    </x:row>
    <x:row r="439" ht="22.200000762939453" hidden="0">
      <x:c r="A439" s="10" t="s">
        <x:v>37</x:v>
      </x:c>
      <x:c r="B439" s="10"/>
      <x:c r="C439" s="10"/>
      <x:c r="D439" s="10" t="n">
        <x:v>8</x:v>
      </x:c>
      <x:c r="E439" s="10"/>
      <x:c r="F439" s="10"/>
      <x:c r="G439" s="10"/>
      <x:c r="H439" s="10" t="n">
        <x:v>50</x:v>
      </x:c>
      <x:c r="I439" s="11" t="n">
        <x:f aca="0">ROUND((IF((B439*C439)/90000&lt;1,1))+IF((B439*C439)/90000&gt;=1,(B439*C439)/90000),1.1)</x:f>
        <x:v>1</x:v>
      </x:c>
      <x:c r="J439" s="11" t="n">
        <x:f aca="0">SUM(F439*I439)</x:f>
        <x:v>0</x:v>
      </x:c>
      <x:c r="K439" s="11" t="n">
        <x:f aca="0">SUM(H439*J439)</x:f>
        <x:v>0</x:v>
      </x:c>
      <x:c r="L439" s="11"/>
      <x:c r="M439" s="11" t="n">
        <x:f aca="0">SUM(C439)</x:f>
        <x:v>0</x:v>
      </x:c>
      <x:c r="N439" s="11" t="n">
        <x:f aca="0">SUM(B439)</x:f>
        <x:v>0</x:v>
      </x:c>
      <x:c r="O439" s="11" t="n">
        <x:f aca="0">SUM(F439*1)</x:f>
        <x:v>0</x:v>
      </x:c>
      <x:c r="P439" s="11"/>
      <x:c r="Q439" s="11" t="str">
        <x:f aca="0">A439</x:f>
        <x:v>背板</x:v>
      </x:c>
      <x:c r="T439"/>
    </x:row>
    <x:row r="440" ht="22.200000762939453" hidden="0">
      <x:c r="A440" s="10" t="s">
        <x:v>37</x:v>
      </x:c>
      <x:c r="B440" s="10"/>
      <x:c r="C440" s="10"/>
      <x:c r="D440" s="10" t="n">
        <x:v>8</x:v>
      </x:c>
      <x:c r="E440" s="10"/>
      <x:c r="F440" s="10"/>
      <x:c r="G440" s="10"/>
      <x:c r="H440" s="10" t="n">
        <x:v>50</x:v>
      </x:c>
      <x:c r="I440" s="11" t="n">
        <x:f aca="0">ROUND((IF((B440*C440)/90000&lt;1,1))+IF((B440*C440)/90000&gt;=1,(B440*C440)/90000),1.1)</x:f>
        <x:v>1</x:v>
      </x:c>
      <x:c r="J440" s="11" t="n">
        <x:f aca="0">SUM(F440*I440)</x:f>
        <x:v>0</x:v>
      </x:c>
      <x:c r="K440" s="11" t="n">
        <x:f aca="0">SUM(H440*J440)</x:f>
        <x:v>0</x:v>
      </x:c>
      <x:c r="L440" s="11"/>
      <x:c r="M440" s="11" t="n">
        <x:f aca="0">SUM(C440)</x:f>
        <x:v>0</x:v>
      </x:c>
      <x:c r="N440" s="11" t="n">
        <x:f aca="0">SUM(B440)</x:f>
        <x:v>0</x:v>
      </x:c>
      <x:c r="O440" s="11" t="n">
        <x:f aca="0">SUM(F440*1)</x:f>
        <x:v>0</x:v>
      </x:c>
      <x:c r="P440" s="11"/>
      <x:c r="Q440" s="11" t="str">
        <x:f aca="0">A440</x:f>
        <x:v>背板</x:v>
      </x:c>
      <x:c r="T440"/>
    </x:row>
    <x:row r="441" ht="22.200000762939453" hidden="0">
      <x:c r="A441" s="10" t="s">
        <x:v>37</x:v>
      </x:c>
      <x:c r="B441" s="10"/>
      <x:c r="C441" s="10"/>
      <x:c r="D441" s="10" t="n">
        <x:v>8</x:v>
      </x:c>
      <x:c r="E441" s="10"/>
      <x:c r="F441" s="10"/>
      <x:c r="G441" s="10"/>
      <x:c r="H441" s="10" t="n">
        <x:v>50</x:v>
      </x:c>
      <x:c r="I441" s="11" t="n">
        <x:f aca="0">ROUND((IF((B441*C441)/90000&lt;1,1))+IF((B441*C441)/90000&gt;=1,(B441*C441)/90000),1.1)</x:f>
        <x:v>1</x:v>
      </x:c>
      <x:c r="J441" s="11" t="n">
        <x:f aca="0">SUM(F441*I441)</x:f>
        <x:v>0</x:v>
      </x:c>
      <x:c r="K441" s="11" t="n">
        <x:f aca="0">SUM(H441*J441)</x:f>
        <x:v>0</x:v>
      </x:c>
      <x:c r="L441" s="11"/>
      <x:c r="M441" s="11" t="n">
        <x:f aca="0">SUM(C441)</x:f>
        <x:v>0</x:v>
      </x:c>
      <x:c r="N441" s="11" t="n">
        <x:f aca="0">SUM(B441)</x:f>
        <x:v>0</x:v>
      </x:c>
      <x:c r="O441" s="11" t="n">
        <x:f aca="0">SUM(F441*1)</x:f>
        <x:v>0</x:v>
      </x:c>
      <x:c r="P441" s="11"/>
      <x:c r="Q441" s="11" t="str">
        <x:f aca="0">A441</x:f>
        <x:v>背板</x:v>
      </x:c>
      <x:c r="T441"/>
    </x:row>
    <x:row r="442" ht="22.200000762939453" hidden="0">
      <x:c r="A442" s="10" t="s">
        <x:v>38</x:v>
      </x:c>
      <x:c r="B442" s="10"/>
      <x:c r="C442" s="10"/>
      <x:c r="D442" s="10" t="n">
        <x:v>18</x:v>
      </x:c>
      <x:c r="E442" s="10"/>
      <x:c r="F442" s="10"/>
      <x:c r="G442" s="10"/>
      <x:c r="H442" s="10" t="n">
        <x:v>50</x:v>
      </x:c>
      <x:c r="I442" s="11" t="n">
        <x:f aca="0">ROUND((IF((B442*C442)/90000&lt;1,1))+IF((B442*C442)/90000&gt;=1,(B442*C442)/90000),1.1)</x:f>
        <x:v>1</x:v>
      </x:c>
      <x:c r="J442" s="11" t="n">
        <x:f aca="0">SUM(F442*I442)</x:f>
        <x:v>0</x:v>
      </x:c>
      <x:c r="K442" s="11" t="n">
        <x:f aca="0">SUM(H442*J442)</x:f>
        <x:v>0</x:v>
      </x:c>
      <x:c r="L442" s="11"/>
      <x:c r="M442" s="11" t="n">
        <x:f aca="0">SUM(C442)</x:f>
        <x:v>0</x:v>
      </x:c>
      <x:c r="N442" s="11" t="n">
        <x:f aca="0">SUM(B442)</x:f>
        <x:v>0</x:v>
      </x:c>
      <x:c r="O442" s="11" t="n">
        <x:f aca="0">SUM(F442*1)</x:f>
        <x:v>0</x:v>
      </x:c>
      <x:c r="P442" s="11"/>
      <x:c r="Q442" s="11" t="str">
        <x:f aca="0">A442</x:f>
        <x:v>踢腳板</x:v>
      </x:c>
      <x:c r="R442" s="1" t="n">
        <x:f aca="0">SUM(C442*1)*F442</x:f>
        <x:v>0</x:v>
      </x:c>
      <x:c r="T442"/>
    </x:row>
    <x:row r="443" ht="22.200000762939453" hidden="0">
      <x:c r="A443" s="10" t="s">
        <x:v>39</x:v>
      </x:c>
      <x:c r="B443" s="10"/>
      <x:c r="C443" s="10"/>
      <x:c r="D443" s="10" t="n">
        <x:v>25</x:v>
      </x:c>
      <x:c r="E443" s="10"/>
      <x:c r="F443" s="10"/>
      <x:c r="G443" s="10"/>
      <x:c r="H443" s="10" t="n">
        <x:v>126</x:v>
      </x:c>
      <x:c r="I443" s="11" t="n">
        <x:f aca="0">ROUND((IF((B443*C443)/90000&lt;1,1))+IF((B443*C443)/90000&gt;=1,(B443*C443)/90000),1.1)</x:f>
        <x:v>1</x:v>
      </x:c>
      <x:c r="J443" s="11" t="n">
        <x:f aca="0">SUM(F443*I443)</x:f>
        <x:v>0</x:v>
      </x:c>
      <x:c r="K443" s="11" t="n">
        <x:f aca="0">SUM(H443*J443)</x:f>
        <x:v>0</x:v>
      </x:c>
      <x:c r="L443" s="11"/>
      <x:c r="M443" s="11" t="n">
        <x:f aca="0">SUM(C443)</x:f>
        <x:v>0</x:v>
      </x:c>
      <x:c r="N443" s="11" t="n">
        <x:f aca="0">SUM(B443-1)</x:f>
        <x:v>-1</x:v>
      </x:c>
      <x:c r="O443" s="11" t="n">
        <x:f aca="0">SUM(F443*1)</x:f>
        <x:v>0</x:v>
      </x:c>
      <x:c r="P443" s="11"/>
      <x:c r="Q443" s="11" t="str">
        <x:f aca="0">A443</x:f>
        <x:v>檯面</x:v>
      </x:c>
      <x:c r="S443" s="1" t="n">
        <x:f aca="0">SUM(B443*2+C443*1)*F443</x:f>
        <x:v>0</x:v>
      </x:c>
      <x:c r="T443"/>
    </x:row>
    <x:row r="444" ht="22.200000762939453" hidden="0">
      <x:c r="A444" s="10" t="s">
        <x:v>40</x:v>
      </x:c>
      <x:c r="B444" s="10"/>
      <x:c r="C444" s="10"/>
      <x:c r="D444" s="10" t="n">
        <x:v>18</x:v>
      </x:c>
      <x:c r="E444" s="10"/>
      <x:c r="F444" s="10"/>
      <x:c r="G444" s="10"/>
      <x:c r="H444" s="10" t="n">
        <x:v>65</x:v>
      </x:c>
      <x:c r="I444" s="11" t="n">
        <x:f aca="0">ROUND((IF((B444*C444)/90000&lt;1,1))+IF((B444*C444)/90000&gt;=1,(B444*C444)/90000),1.1)</x:f>
        <x:v>1</x:v>
      </x:c>
      <x:c r="J444" s="11" t="n">
        <x:f aca="0">SUM(F444*I444)</x:f>
        <x:v>0</x:v>
      </x:c>
      <x:c r="K444" s="11" t="n">
        <x:f aca="0">SUM(H444*J444)</x:f>
        <x:v>0</x:v>
      </x:c>
      <x:c r="L444" s="11"/>
      <x:c r="M444" s="11" t="n">
        <x:f aca="0">SUM(C444)</x:f>
        <x:v>0</x:v>
      </x:c>
      <x:c r="N444" s="11" t="n">
        <x:f aca="0">SUM(B444)</x:f>
        <x:v>0</x:v>
      </x:c>
      <x:c r="O444" s="11" t="n">
        <x:f aca="0">SUM(F444*1)</x:f>
        <x:v>0</x:v>
      </x:c>
      <x:c r="P444" s="11"/>
      <x:c r="Q444" s="11" t="str">
        <x:f aca="0">A444</x:f>
        <x:v>背條</x:v>
      </x:c>
      <x:c r="T444"/>
    </x:row>
    <x:row r="445" ht="22.200000762939453" hidden="0">
      <x:c r="A445" s="10" t="s">
        <x:v>40</x:v>
      </x:c>
      <x:c r="B445" s="10"/>
      <x:c r="C445" s="10"/>
      <x:c r="D445" s="10" t="n">
        <x:v>18</x:v>
      </x:c>
      <x:c r="E445" s="10"/>
      <x:c r="F445" s="10"/>
      <x:c r="G445" s="10"/>
      <x:c r="H445" s="10" t="n">
        <x:v>65</x:v>
      </x:c>
      <x:c r="I445" s="11" t="n">
        <x:f aca="0">ROUND((IF((B445*C445)/90000&lt;1,1))+IF((B445*C445)/90000&gt;=1,(B445*C445)/90000),1.1)</x:f>
        <x:v>1</x:v>
      </x:c>
      <x:c r="J445" s="11" t="n">
        <x:f aca="0">SUM(F445*I445)</x:f>
        <x:v>0</x:v>
      </x:c>
      <x:c r="K445" s="11" t="n">
        <x:f aca="0">SUM(H445*J445)</x:f>
        <x:v>0</x:v>
      </x:c>
      <x:c r="L445" s="11"/>
      <x:c r="M445" s="11" t="n">
        <x:f aca="0">SUM(C445)</x:f>
        <x:v>0</x:v>
      </x:c>
      <x:c r="N445" s="11" t="n">
        <x:f aca="0">SUM(B445)</x:f>
        <x:v>0</x:v>
      </x:c>
      <x:c r="O445" s="11" t="n">
        <x:f aca="0">SUM(F445*1)</x:f>
        <x:v>0</x:v>
      </x:c>
      <x:c r="P445" s="11"/>
      <x:c r="Q445" s="11" t="str">
        <x:f aca="0">A445</x:f>
        <x:v>背條</x:v>
      </x:c>
      <x:c r="T445"/>
    </x:row>
    <x:row r="446" ht="22.200000762939453" hidden="0">
      <x:c r="A446" s="10" t="s">
        <x:v>40</x:v>
      </x:c>
      <x:c r="B446" s="10"/>
      <x:c r="C446" s="10"/>
      <x:c r="D446" s="10" t="n">
        <x:v>18</x:v>
      </x:c>
      <x:c r="E446" s="10"/>
      <x:c r="F446" s="10"/>
      <x:c r="G446" s="10"/>
      <x:c r="H446" s="10" t="n">
        <x:v>65</x:v>
      </x:c>
      <x:c r="I446" s="11" t="n">
        <x:f aca="0">ROUND((IF((B446*C446)/90000&lt;1,1))+IF((B446*C446)/90000&gt;=1,(B446*C446)/90000),1.1)</x:f>
        <x:v>1</x:v>
      </x:c>
      <x:c r="J446" s="11" t="n">
        <x:f aca="0">SUM(F446*I446)</x:f>
        <x:v>0</x:v>
      </x:c>
      <x:c r="K446" s="11" t="n">
        <x:f aca="0">SUM(H446*J446)</x:f>
        <x:v>0</x:v>
      </x:c>
      <x:c r="L446" s="11"/>
      <x:c r="M446" s="11" t="n">
        <x:f aca="0">SUM(C446)</x:f>
        <x:v>0</x:v>
      </x:c>
      <x:c r="N446" s="11" t="n">
        <x:f aca="0">SUM(B446)</x:f>
        <x:v>0</x:v>
      </x:c>
      <x:c r="O446" s="11" t="n">
        <x:f aca="0">SUM(F446*1)</x:f>
        <x:v>0</x:v>
      </x:c>
      <x:c r="P446" s="11"/>
      <x:c r="Q446" s="11" t="str">
        <x:f aca="0">A446</x:f>
        <x:v>背條</x:v>
      </x:c>
      <x:c r="T446"/>
    </x:row>
    <x:row r="447" ht="22.200000762939453" hidden="0">
      <x:c r="A447" s="10" t="s">
        <x:v>40</x:v>
      </x:c>
      <x:c r="B447" s="10"/>
      <x:c r="C447" s="10"/>
      <x:c r="D447" s="10" t="n">
        <x:v>18</x:v>
      </x:c>
      <x:c r="E447" s="10"/>
      <x:c r="F447" s="10"/>
      <x:c r="G447" s="10"/>
      <x:c r="H447" s="10" t="n">
        <x:v>65</x:v>
      </x:c>
      <x:c r="I447" s="11" t="n">
        <x:f aca="0">ROUND((IF((B447*C447)/90000&lt;1,1))+IF((B447*C447)/90000&gt;=1,(B447*C447)/90000),1.1)</x:f>
        <x:v>1</x:v>
      </x:c>
      <x:c r="J447" s="11" t="n">
        <x:f aca="0">SUM(F447*I447)</x:f>
        <x:v>0</x:v>
      </x:c>
      <x:c r="K447" s="11" t="n">
        <x:f aca="0">SUM(H447*J447)</x:f>
        <x:v>0</x:v>
      </x:c>
      <x:c r="L447" s="11"/>
      <x:c r="M447" s="11" t="n">
        <x:f aca="0">SUM(C447)</x:f>
        <x:v>0</x:v>
      </x:c>
      <x:c r="N447" s="11" t="n">
        <x:f aca="0">SUM(B447)</x:f>
        <x:v>0</x:v>
      </x:c>
      <x:c r="O447" s="11" t="n">
        <x:f aca="0">SUM(F447*1)</x:f>
        <x:v>0</x:v>
      </x:c>
      <x:c r="P447" s="11"/>
      <x:c r="Q447" s="11" t="str">
        <x:f aca="0">A447</x:f>
        <x:v>背條</x:v>
      </x:c>
      <x:c r="T447"/>
    </x:row>
    <x:row r="448" ht="22.200000762939453" hidden="0">
      <x:c r="A448" s="12" t="s">
        <x:v>41</x:v>
      </x:c>
      <x:c r="B448" s="10"/>
      <x:c r="C448" s="10"/>
      <x:c r="D448" s="10"/>
      <x:c r="E448" s="10"/>
      <x:c r="F448" s="10"/>
      <x:c r="G448" s="10"/>
      <x:c r="H448" s="10" t="n">
        <x:v>11</x:v>
      </x:c>
      <x:c r="I448" s="11"/>
      <x:c r="J448" s="11"/>
      <x:c r="K448" s="11" t="n">
        <x:f aca="0">SUM(F448*H448)</x:f>
        <x:v>0</x:v>
      </x:c>
      <x:c r="L448" s="11"/>
      <x:c r="M448" s="11"/>
      <x:c r="N448" s="11"/>
      <x:c r="O448" s="11"/>
      <x:c r="P448" s="11"/>
      <x:c r="Q448" s="11"/>
      <x:c r="T448"/>
    </x:row>
    <x:row r="449" ht="22.200000762939453" hidden="0">
      <x:c r="A449" s="12" t="s">
        <x:v>42</x:v>
      </x:c>
      <x:c r="B449" s="10"/>
      <x:c r="C449" s="10"/>
      <x:c r="D449" s="10"/>
      <x:c r="E449" s="10"/>
      <x:c r="F449" s="10"/>
      <x:c r="G449" s="10"/>
      <x:c r="H449" s="10" t="n">
        <x:v>9</x:v>
      </x:c>
      <x:c r="I449" s="11"/>
      <x:c r="J449" s="11"/>
      <x:c r="K449" s="11" t="n">
        <x:f aca="0">SUM(F449*H449)</x:f>
        <x:v>0</x:v>
      </x:c>
      <x:c r="L449" s="11"/>
      <x:c r="M449" s="11"/>
      <x:c r="N449" s="11"/>
      <x:c r="O449" s="11"/>
      <x:c r="P449" s="11"/>
      <x:c r="Q449" s="11"/>
      <x:c r="R449" s="9"/>
      <x:c r="S449" s="13"/>
      <x:c r="T449"/>
    </x:row>
    <x:row r="450" ht="22.200000762939453" hidden="0">
      <x:c r="A450" s="10" t="s">
        <x:v>43</x:v>
      </x:c>
      <x:c r="B450" s="10"/>
      <x:c r="C450" s="10"/>
      <x:c r="D450" s="10"/>
      <x:c r="E450" s="10"/>
      <x:c r="F450" s="10"/>
      <x:c r="G450" s="10"/>
      <x:c r="H450" s="10" t="n">
        <x:v>1</x:v>
      </x:c>
      <x:c r="I450" s="11"/>
      <x:c r="J450" s="11"/>
      <x:c r="K450" s="11" t="n">
        <x:f aca="0">SUM(F450*H450)</x:f>
        <x:v>0</x:v>
      </x:c>
      <x:c r="L450" s="11"/>
      <x:c r="M450" s="11"/>
      <x:c r="N450" s="11"/>
      <x:c r="O450" s="11"/>
      <x:c r="P450" s="11"/>
      <x:c r="Q450" s="11"/>
      <x:c r="T450"/>
    </x:row>
    <x:row r="451" ht="22.200000762939453" hidden="0">
      <x:c r="A451" s="10" t="s">
        <x:v>44</x:v>
      </x:c>
      <x:c r="B451" s="10"/>
      <x:c r="C451" s="10"/>
      <x:c r="D451" s="10"/>
      <x:c r="E451" s="10"/>
      <x:c r="F451" s="10"/>
      <x:c r="G451" s="10"/>
      <x:c r="H451" s="10" t="n">
        <x:v>11</x:v>
      </x:c>
      <x:c r="I451" s="11"/>
      <x:c r="J451" s="11"/>
      <x:c r="K451" s="11" t="n">
        <x:f aca="0">SUM(F451*H451)</x:f>
        <x:v>0</x:v>
      </x:c>
      <x:c r="L451" s="11"/>
      <x:c r="M451" s="11"/>
      <x:c r="N451" s="11"/>
      <x:c r="O451" s="11"/>
      <x:c r="P451" s="11"/>
      <x:c r="Q451" s="11"/>
      <x:c r="T451"/>
    </x:row>
    <x:row r="452" ht="22.200000762939453" hidden="0">
      <x:c r="A452" s="10" t="s">
        <x:v>45</x:v>
      </x:c>
      <x:c r="B452" s="10"/>
      <x:c r="C452" s="10"/>
      <x:c r="D452" s="10"/>
      <x:c r="E452" s="10"/>
      <x:c r="F452" s="10"/>
      <x:c r="G452" s="10"/>
      <x:c r="H452" s="10" t="n">
        <x:v>7</x:v>
      </x:c>
      <x:c r="I452" s="11"/>
      <x:c r="J452" s="11"/>
      <x:c r="K452" s="11" t="n">
        <x:f aca="0">SUM(F452*H452)</x:f>
        <x:v>0</x:v>
      </x:c>
      <x:c r="L452" s="11"/>
      <x:c r="M452" s="11"/>
      <x:c r="N452" s="11"/>
      <x:c r="O452" s="11"/>
      <x:c r="P452" s="11"/>
      <x:c r="Q452" s="11"/>
      <x:c r="T452"/>
    </x:row>
    <x:row r="453" ht="22.200000762939453" hidden="0">
      <x:c r="A453" s="12" t="s">
        <x:v>65</x:v>
      </x:c>
      <x:c r="B453" s="10"/>
      <x:c r="C453" s="10"/>
      <x:c r="D453" s="10"/>
      <x:c r="E453" s="10"/>
      <x:c r="F453" s="10"/>
      <x:c r="G453" s="10"/>
      <x:c r="H453" s="10" t="n">
        <x:v>50</x:v>
      </x:c>
      <x:c r="I453" s="11"/>
      <x:c r="J453" s="11"/>
      <x:c r="K453" s="11" t="n">
        <x:f aca="0">SUM(F453*H453)</x:f>
        <x:v>0</x:v>
      </x:c>
      <x:c r="L453" s="11"/>
      <x:c r="M453" s="11"/>
      <x:c r="N453" s="11"/>
      <x:c r="O453" s="11"/>
      <x:c r="P453" s="11"/>
      <x:c r="Q453" s="11"/>
      <x:c r="T453"/>
    </x:row>
    <x:row r="454" ht="22.200000762939453" hidden="0">
      <x:c r="A454" s="10" t="s">
        <x:v>47</x:v>
      </x:c>
      <x:c r="B454" s="10"/>
      <x:c r="C454" s="10"/>
      <x:c r="D454" s="10"/>
      <x:c r="E454" s="10"/>
      <x:c r="F454" s="10"/>
      <x:c r="G454" s="10"/>
      <x:c r="H454" s="10" t="n">
        <x:v>90</x:v>
      </x:c>
      <x:c r="I454" s="11"/>
      <x:c r="J454" s="11"/>
      <x:c r="K454" s="11" t="n">
        <x:f aca="0">SUM(F454*H454)</x:f>
        <x:v>0</x:v>
      </x:c>
      <x:c r="L454" s="11"/>
      <x:c r="M454" s="11"/>
      <x:c r="N454" s="11"/>
      <x:c r="O454" s="11"/>
      <x:c r="P454" s="11"/>
      <x:c r="Q454" s="11"/>
      <x:c r="T454"/>
    </x:row>
    <x:row r="455" ht="22.200000762939453" hidden="0">
      <x:c r="A455" s="10" t="s">
        <x:v>48</x:v>
      </x:c>
      <x:c r="B455" s="10"/>
      <x:c r="C455" s="10"/>
      <x:c r="D455" s="10"/>
      <x:c r="E455" s="10"/>
      <x:c r="F455" s="10"/>
      <x:c r="G455" s="10"/>
      <x:c r="H455" s="10" t="n">
        <x:v>275</x:v>
      </x:c>
      <x:c r="I455" s="11"/>
      <x:c r="J455" s="11"/>
      <x:c r="K455" s="11" t="n">
        <x:f aca="0">SUM(F455*H455)</x:f>
        <x:v>0</x:v>
      </x:c>
      <x:c r="L455" s="11"/>
      <x:c r="M455" s="11"/>
      <x:c r="N455" s="11"/>
      <x:c r="O455" s="11"/>
      <x:c r="P455" s="11"/>
      <x:c r="Q455" s="11"/>
      <x:c r="T455"/>
    </x:row>
    <x:row r="456" ht="22.200000762939453" hidden="0">
      <x:c r="A456" s="12" t="s">
        <x:v>49</x:v>
      </x:c>
      <x:c r="B456" s="10"/>
      <x:c r="C456" s="10"/>
      <x:c r="D456" s="10"/>
      <x:c r="E456" s="10"/>
      <x:c r="F456" s="10"/>
      <x:c r="G456" s="10"/>
      <x:c r="H456" s="10" t="n">
        <x:v>165</x:v>
      </x:c>
      <x:c r="I456" s="11"/>
      <x:c r="J456" s="11"/>
      <x:c r="K456" s="11" t="n">
        <x:f aca="0">SUM(F456*H456)</x:f>
        <x:v>0</x:v>
      </x:c>
      <x:c r="L456" s="11"/>
      <x:c r="M456" s="11"/>
      <x:c r="N456" s="11"/>
      <x:c r="O456" s="11"/>
      <x:c r="P456" s="11"/>
      <x:c r="Q456" s="11"/>
      <x:c r="T456"/>
    </x:row>
    <x:row r="457" ht="22.200000762939453" hidden="0">
      <x:c r="A457" s="12" t="s">
        <x:v>50</x:v>
      </x:c>
      <x:c r="B457" s="10"/>
      <x:c r="C457" s="10"/>
      <x:c r="D457" s="10"/>
      <x:c r="E457" s="10"/>
      <x:c r="F457" s="10"/>
      <x:c r="G457" s="10"/>
      <x:c r="H457" s="10"/>
      <x:c r="I457" s="11"/>
      <x:c r="J457" s="11"/>
      <x:c r="K457" s="11" t="n">
        <x:f aca="0">SUM(F457*H457)</x:f>
        <x:v>0</x:v>
      </x:c>
      <x:c r="L457" s="11"/>
      <x:c r="M457" s="11"/>
      <x:c r="N457" s="11"/>
      <x:c r="O457" s="11"/>
      <x:c r="P457" s="11"/>
      <x:c r="Q457" s="11"/>
      <x:c r="T457"/>
    </x:row>
    <x:row r="458" ht="22.200000762939453" hidden="0">
      <x:c r="A458" s="12" t="s">
        <x:v>51</x:v>
      </x:c>
      <x:c r="B458" s="10"/>
      <x:c r="C458" s="10"/>
      <x:c r="D458" s="10"/>
      <x:c r="E458" s="10"/>
      <x:c r="F458" s="10"/>
      <x:c r="G458" s="10"/>
      <x:c r="H458" s="10"/>
      <x:c r="I458" s="11"/>
      <x:c r="J458" s="11"/>
      <x:c r="K458" s="11" t="n">
        <x:f aca="0">SUM(F458*H458)</x:f>
        <x:v>0</x:v>
      </x:c>
      <x:c r="L458" s="11"/>
      <x:c r="M458" s="11"/>
      <x:c r="N458" s="11"/>
      <x:c r="O458" s="11"/>
      <x:c r="P458" s="11"/>
      <x:c r="Q458" s="11"/>
      <x:c r="T458"/>
    </x:row>
    <x:row r="459" ht="22.200000762939453" hidden="0">
      <x:c r="A459" s="12" t="s">
        <x:v>52</x:v>
      </x:c>
      <x:c r="B459" s="10"/>
      <x:c r="C459" s="10"/>
      <x:c r="D459" s="10"/>
      <x:c r="E459" s="10"/>
      <x:c r="F459" s="10"/>
      <x:c r="G459" s="10"/>
      <x:c r="H459" s="10"/>
      <x:c r="I459" s="11"/>
      <x:c r="J459" s="11"/>
      <x:c r="K459" s="11" t="n">
        <x:f aca="0">SUM(F459*H459)</x:f>
        <x:v>0</x:v>
      </x:c>
      <x:c r="L459" s="11"/>
      <x:c r="M459" s="11"/>
      <x:c r="N459" s="11"/>
      <x:c r="O459" s="11"/>
      <x:c r="P459" s="11"/>
      <x:c r="Q459" s="11"/>
      <x:c r="T459"/>
    </x:row>
    <x:row r="460" ht="22.200000762939453" hidden="0">
      <x:c r="A460" s="12" t="s">
        <x:v>53</x:v>
      </x:c>
      <x:c r="B460" s="10"/>
      <x:c r="C460" s="10"/>
      <x:c r="D460" s="10"/>
      <x:c r="E460" s="10"/>
      <x:c r="F460" s="10"/>
      <x:c r="G460" s="10"/>
      <x:c r="H460" s="10" t="n">
        <x:v>66</x:v>
      </x:c>
      <x:c r="I460" s="11"/>
      <x:c r="J460" s="11"/>
      <x:c r="K460" s="11" t="n">
        <x:f aca="0">SUM(F460*H460)</x:f>
        <x:v>0</x:v>
      </x:c>
      <x:c r="L460" s="11"/>
      <x:c r="M460" s="11"/>
      <x:c r="N460" s="11"/>
      <x:c r="O460" s="11"/>
      <x:c r="P460" s="11"/>
      <x:c r="Q460" s="11"/>
      <x:c r="T460"/>
    </x:row>
    <x:row r="461" ht="22.200000762939453" hidden="0">
      <x:c r="A461" s="10" t="s">
        <x:v>54</x:v>
      </x:c>
      <x:c r="B461" s="10"/>
      <x:c r="C461" s="10"/>
      <x:c r="D461" s="10"/>
      <x:c r="E461" s="10"/>
      <x:c r="F461" s="10"/>
      <x:c r="G461" s="10"/>
      <x:c r="H461" s="10" t="n">
        <x:v>220</x:v>
      </x:c>
      <x:c r="I461" s="11"/>
      <x:c r="J461" s="11"/>
      <x:c r="K461" s="11" t="n">
        <x:f aca="0">SUM(F461*H461)</x:f>
        <x:v>0</x:v>
      </x:c>
      <x:c r="L461" s="11"/>
      <x:c r="M461" s="11"/>
      <x:c r="N461" s="11"/>
      <x:c r="O461" s="11"/>
      <x:c r="P461" s="11"/>
      <x:c r="Q461" s="11"/>
      <x:c r="T461"/>
    </x:row>
    <x:row r="462" ht="22.200000762939453" hidden="0">
      <x:c r="A462" s="12" t="s">
        <x:v>55</x:v>
      </x:c>
      <x:c r="B462" s="10"/>
      <x:c r="C462" s="10"/>
      <x:c r="D462" s="10"/>
      <x:c r="E462" s="10"/>
      <x:c r="F462" s="10"/>
      <x:c r="G462" s="10"/>
      <x:c r="H462" s="10"/>
      <x:c r="I462" s="11"/>
      <x:c r="J462" s="11"/>
      <x:c r="K462" s="11" t="n">
        <x:f aca="0">SUM(F462*H462)</x:f>
        <x:v>0</x:v>
      </x:c>
      <x:c r="L462" s="11"/>
      <x:c r="M462" s="11"/>
      <x:c r="N462" s="11"/>
      <x:c r="O462" s="11"/>
      <x:c r="P462" s="11"/>
      <x:c r="Q462" s="11"/>
      <x:c r="T462"/>
    </x:row>
    <x:row r="463" ht="22.200000762939453" hidden="0">
      <x:c r="A463" s="10" t="s">
        <x:v>56</x:v>
      </x:c>
      <x:c r="B463" s="10"/>
      <x:c r="C463" s="10"/>
      <x:c r="D463" s="10"/>
      <x:c r="E463" s="10"/>
      <x:c r="F463" s="10"/>
      <x:c r="G463" s="10"/>
      <x:c r="H463" s="10" t="n">
        <x:v>800</x:v>
      </x:c>
      <x:c r="I463" s="11"/>
      <x:c r="J463" s="11"/>
      <x:c r="K463" s="11" t="n">
        <x:f aca="0">SUM(F463*H463)</x:f>
        <x:v>0</x:v>
      </x:c>
      <x:c r="L463" s="11"/>
      <x:c r="M463" s="11"/>
      <x:c r="N463" s="11"/>
      <x:c r="O463" s="11"/>
      <x:c r="P463" s="11"/>
      <x:c r="Q463" s="11"/>
      <x:c r="T463"/>
    </x:row>
    <x:row r="464" ht="22.200000762939453" hidden="0">
      <x:c r="A464" s="10" t="s">
        <x:v>57</x:v>
      </x:c>
      <x:c r="B464" s="10"/>
      <x:c r="C464" s="10"/>
      <x:c r="D464" s="10"/>
      <x:c r="E464" s="10"/>
      <x:c r="F464" s="10"/>
      <x:c r="G464" s="10"/>
      <x:c r="H464" s="10" t="n">
        <x:v>200</x:v>
      </x:c>
      <x:c r="I464" s="11"/>
      <x:c r="J464" s="11"/>
      <x:c r="K464" s="11" t="n">
        <x:f aca="0">SUM(F464*H464)</x:f>
        <x:v>0</x:v>
      </x:c>
      <x:c r="L464" s="11"/>
      <x:c r="M464" s="11"/>
      <x:c r="N464" s="11"/>
      <x:c r="O464" s="11"/>
      <x:c r="P464" s="11"/>
      <x:c r="Q464" s="11"/>
      <x:c r="T464"/>
    </x:row>
    <x:row r="465" ht="22.200000762939453" hidden="0">
      <x:c r="A465" s="10" t="s">
        <x:v>58</x:v>
      </x:c>
      <x:c r="B465" s="10"/>
      <x:c r="C465" s="10"/>
      <x:c r="D465" s="10"/>
      <x:c r="E465" s="10"/>
      <x:c r="F465" s="10"/>
      <x:c r="G465" s="10"/>
      <x:c r="H465" s="10" t="n">
        <x:v>150</x:v>
      </x:c>
      <x:c r="I465" s="11"/>
      <x:c r="J465" s="11"/>
      <x:c r="K465" s="11" t="n">
        <x:f aca="0">SUM(F465*H465)</x:f>
        <x:v>0</x:v>
      </x:c>
      <x:c r="L465" s="11"/>
      <x:c r="M465" s="11"/>
      <x:c r="N465" s="11"/>
      <x:c r="O465" s="11"/>
      <x:c r="P465" s="11"/>
      <x:c r="Q465" s="11"/>
      <x:c r="T465"/>
    </x:row>
    <x:row r="466" ht="22.200000762939453" hidden="0">
      <x:c r="A466" s="10" t="s">
        <x:v>59</x:v>
      </x:c>
      <x:c r="B466" s="10"/>
      <x:c r="C466" s="10"/>
      <x:c r="D466" s="10"/>
      <x:c r="E466" s="10"/>
      <x:c r="F466" s="10"/>
      <x:c r="G466" s="10"/>
      <x:c r="H466" s="10" t="n">
        <x:v>34</x:v>
      </x:c>
      <x:c r="I466" s="11"/>
      <x:c r="J466" s="11"/>
      <x:c r="K466" s="11" t="n">
        <x:f aca="0">SUM(F466*H466)</x:f>
        <x:v>0</x:v>
      </x:c>
      <x:c r="L466" s="11"/>
      <x:c r="M466" s="11"/>
      <x:c r="N466" s="11"/>
      <x:c r="O466" s="11"/>
      <x:c r="P466" s="11"/>
      <x:c r="Q466" s="11"/>
      <x:c r="T466"/>
    </x:row>
    <x:row r="467" ht="22.200000762939453" hidden="0">
      <x:c r="A467" s="10" t="s">
        <x:v>60</x:v>
      </x:c>
      <x:c r="B467" s="10"/>
      <x:c r="C467" s="10"/>
      <x:c r="D467" s="10"/>
      <x:c r="E467" s="10"/>
      <x:c r="F467" s="10"/>
      <x:c r="G467" s="10"/>
      <x:c r="H467" s="10" t="n">
        <x:v>6</x:v>
      </x:c>
      <x:c r="I467" s="11"/>
      <x:c r="J467" s="11"/>
      <x:c r="K467" s="11" t="n">
        <x:f aca="0">SUM(F467*H467)</x:f>
        <x:v>0</x:v>
      </x:c>
      <x:c r="L467" s="11"/>
      <x:c r="M467" s="11"/>
      <x:c r="N467" s="11"/>
      <x:c r="O467" s="11"/>
      <x:c r="P467" s="11"/>
      <x:c r="Q467" s="11"/>
      <x:c r="T467"/>
    </x:row>
    <x:row r="468" ht="22.200000762939453" hidden="0">
      <x:c r="A468" s="10" t="s">
        <x:v>61</x:v>
      </x:c>
      <x:c r="B468" s="10"/>
      <x:c r="C468" s="10"/>
      <x:c r="D468" s="10"/>
      <x:c r="E468" s="10"/>
      <x:c r="F468" s="10"/>
      <x:c r="G468" s="10"/>
      <x:c r="H468" s="10" t="n">
        <x:v>670</x:v>
      </x:c>
      <x:c r="I468" s="11"/>
      <x:c r="J468" s="11"/>
      <x:c r="K468" s="11" t="n">
        <x:f aca="0">SUM(F468*H468)</x:f>
        <x:v>0</x:v>
      </x:c>
      <x:c r="L468" s="11"/>
      <x:c r="M468" s="11"/>
      <x:c r="N468" s="11"/>
      <x:c r="O468" s="11"/>
      <x:c r="P468" s="11"/>
      <x:c r="Q468" s="11"/>
      <x:c r="T468"/>
    </x:row>
    <x:row r="469" ht="22.200000762939453" hidden="0">
      <x:c r="A469" s="10" t="s">
        <x:v>62</x:v>
      </x:c>
      <x:c r="B469" s="10"/>
      <x:c r="C469" s="10"/>
      <x:c r="D469" s="10"/>
      <x:c r="E469" s="10"/>
      <x:c r="F469" s="10"/>
      <x:c r="G469" s="10"/>
      <x:c r="H469" s="10" t="n">
        <x:v>110</x:v>
      </x:c>
      <x:c r="I469" s="11"/>
      <x:c r="J469" s="11"/>
      <x:c r="K469" s="11" t="n">
        <x:f aca="0">SUM(F469*H469)</x:f>
        <x:v>0</x:v>
      </x:c>
      <x:c r="L469" s="11"/>
      <x:c r="M469" s="11"/>
      <x:c r="N469" s="11"/>
      <x:c r="O469" s="11"/>
      <x:c r="P469" s="11"/>
      <x:c r="Q469" s="11"/>
      <x:c r="T469"/>
    </x:row>
    <x:row r="470" ht="22.200000762939453" hidden="0">
      <x:c r="A470" s="10" t="s">
        <x:v>63</x:v>
      </x:c>
      <x:c r="B470" s="10"/>
      <x:c r="C470" s="10"/>
      <x:c r="D470" s="10"/>
      <x:c r="E470" s="10"/>
      <x:c r="F470" s="10"/>
      <x:c r="G470" s="10"/>
      <x:c r="H470" s="10"/>
      <x:c r="I470" s="11"/>
      <x:c r="J470" s="11"/>
      <x:c r="K470" s="11" t="n">
        <x:f aca="0">SUM(F470*H470)</x:f>
        <x:v>0</x:v>
      </x:c>
      <x:c r="L470" s="11"/>
      <x:c r="M470" s="11"/>
      <x:c r="N470" s="11"/>
      <x:c r="O470" s="11"/>
      <x:c r="P470" s="11"/>
      <x:c r="Q470" s="11"/>
      <x:c r="T470"/>
    </x:row>
    <x:row r="471" ht="22.200000762939453" hidden="0">
      <x:c r="A471" s="10"/>
      <x:c r="B471" s="10"/>
      <x:c r="C471" s="10"/>
      <x:c r="D471" s="10"/>
      <x:c r="E471" s="10"/>
      <x:c r="F471" s="10"/>
      <x:c r="G471" s="10"/>
      <x:c r="H471" s="10"/>
      <x:c r="I471" s="11"/>
      <x:c r="J471" s="11"/>
      <x:c r="K471" s="11" t="n">
        <x:f aca="0">SUM(F471*H471)</x:f>
        <x:v>0</x:v>
      </x:c>
      <x:c r="L471" s="11"/>
      <x:c r="M471" s="11"/>
      <x:c r="N471" s="11"/>
      <x:c r="O471" s="11"/>
      <x:c r="P471" s="11"/>
      <x:c r="Q471" s="11"/>
      <x:c r="T471"/>
    </x:row>
    <x:row r="472" ht="22.200000762939453" hidden="0">
      <x:c r="A472" s="15"/>
      <x:c r="B472" s="15"/>
      <x:c r="C472" s="15"/>
      <x:c r="D472" s="15"/>
      <x:c r="E472" s="15"/>
      <x:c r="F472" s="15"/>
      <x:c r="G472" s="15"/>
      <x:c r="H472" s="15"/>
      <x:c r="I472" s="11" t="n">
        <x:f aca="0">SUM(B472*C472)/90000</x:f>
        <x:v>0</x:v>
      </x:c>
      <x:c r="J472" s="15" t="s">
        <x:v>17</x:v>
      </x:c>
      <x:c r="K472" s="16" t="n">
        <x:f aca="0">SUM(K399:K471)</x:f>
        <x:v>0</x:v>
      </x:c>
      <x:c r="L472" s="16" t="n">
        <x:f aca="0">SUM(K472*1.35)</x:f>
        <x:v>0</x:v>
      </x:c>
      <x:c r="M472" s="16"/>
      <x:c r="N472" s="16" t="n">
        <x:f aca="0">SUM(M472*1.25)</x:f>
        <x:v>0</x:v>
      </x:c>
      <x:c r="O472" s="16"/>
      <x:c r="P472" s="16"/>
      <x:c r="Q472" s="16"/>
      <x:c r="T472"/>
    </x:row>
    <x:row r="477" ht="22.200000762939453" hidden="0">
      <x:c r="A477" s="5"/>
      <x:c r="B477" s="5"/>
      <x:c r="C477" s="5"/>
      <x:c r="D477" s="5"/>
      <x:c r="E477" s="5"/>
      <x:c r="F477" s="5"/>
      <x:c r="G477" s="6"/>
      <x:c r="H477" s="5"/>
      <x:c r="I477" s="3"/>
      <x:c r="J477" s="3"/>
      <x:c r="K477" s="4"/>
      <x:c r="L477" s="4"/>
      <x:c r="M477" s="4"/>
      <x:c r="N477" s="4"/>
      <x:c r="O477" s="4"/>
      <x:c r="P477" s="4"/>
      <x:c r="Q477" s="4"/>
      <x:c r="R477" s="4"/>
    </x:row>
    <x:row r="478" ht="22.200000762939453" hidden="0">
      <x:c r="A478" s="7" t="s">
        <x:v>3</x:v>
      </x:c>
      <x:c r="B478" s="8" t="s">
        <x:v>4</x:v>
      </x:c>
      <x:c r="C478" s="8"/>
      <x:c r="D478" s="7" t="s">
        <x:v>5</x:v>
      </x:c>
      <x:c r="E478" s="7"/>
      <x:c r="F478" s="7" t="s">
        <x:v>6</x:v>
      </x:c>
      <x:c r="G478" s="7"/>
      <x:c r="H478" s="7" t="s">
        <x:v>7</x:v>
      </x:c>
      <x:c r="I478" s="7" t="s">
        <x:v>8</x:v>
      </x:c>
      <x:c r="J478" s="7" t="s">
        <x:v>9</x:v>
      </x:c>
      <x:c r="K478" s="7" t="s">
        <x:v>10</x:v>
      </x:c>
      <x:c r="L478" s="7"/>
      <x:c r="M478" s="7" t="s">
        <x:v>11</x:v>
      </x:c>
      <x:c r="N478" s="7" t="s">
        <x:v>12</x:v>
      </x:c>
      <x:c r="O478" s="7" t="s">
        <x:v>6</x:v>
      </x:c>
      <x:c r="P478" s="7" t="s">
        <x:v>13</x:v>
      </x:c>
      <x:c r="Q478" s="7" t="s">
        <x:v>14</x:v>
      </x:c>
      <x:c r="R478" s="9" t="s">
        <x:v>15</x:v>
      </x:c>
      <x:c r="S478" s="9" t="s">
        <x:v>16</x:v>
      </x:c>
      <x:c r="T478"/>
    </x:row>
    <x:row r="479" ht="22.200000762939453" hidden="0">
      <x:c r="A479" s="10" t="s">
        <x:v>18</x:v>
      </x:c>
      <x:c r="B479" s="10"/>
      <x:c r="C479" s="10"/>
      <x:c r="D479" s="10" t="n">
        <x:v>18</x:v>
      </x:c>
      <x:c r="E479" s="10"/>
      <x:c r="F479" s="10"/>
      <x:c r="G479" s="10"/>
      <x:c r="H479" s="10" t="n">
        <x:v>69</x:v>
      </x:c>
      <x:c r="I479" s="11" t="n">
        <x:f aca="0">ROUND((IF((B479*C479)/90000&lt;1,1))+IF((B479*C479)/90000&gt;=1,(B479*C479)/90000),1.1)</x:f>
        <x:v>1</x:v>
      </x:c>
      <x:c r="J479" s="11" t="n">
        <x:f aca="0">SUM(F479*I479)</x:f>
        <x:v>0</x:v>
      </x:c>
      <x:c r="K479" s="11" t="n">
        <x:f aca="0">SUM(H479*J479)</x:f>
        <x:v>0</x:v>
      </x:c>
      <x:c r="L479" s="11"/>
      <x:c r="M479" s="11" t="n">
        <x:f aca="0">SUM(C479-1)</x:f>
        <x:v>-1</x:v>
      </x:c>
      <x:c r="N479" s="11" t="n">
        <x:f aca="0">SUM(B479-1)</x:f>
        <x:v>-1</x:v>
      </x:c>
      <x:c r="O479" s="11" t="n">
        <x:f aca="0">SUM(F479*1)</x:f>
        <x:v>0</x:v>
      </x:c>
      <x:c r="P479" s="11"/>
      <x:c r="Q479" s="11" t="str">
        <x:f aca="0">A479</x:f>
        <x:v>側板</x:v>
      </x:c>
      <x:c r="R479" s="1" t="n">
        <x:f aca="0">SUM(B479*2+C479*2)*F479</x:f>
        <x:v>0</x:v>
      </x:c>
      <x:c r="T479"/>
    </x:row>
    <x:row r="480" ht="22.200000762939453" hidden="0">
      <x:c r="A480" s="10" t="s">
        <x:v>18</x:v>
      </x:c>
      <x:c r="B480" s="10"/>
      <x:c r="C480" s="10"/>
      <x:c r="D480" s="10" t="n">
        <x:v>18</x:v>
      </x:c>
      <x:c r="E480" s="10"/>
      <x:c r="F480" s="10"/>
      <x:c r="G480" s="10"/>
      <x:c r="H480" s="10" t="n">
        <x:v>69</x:v>
      </x:c>
      <x:c r="I480" s="11" t="n">
        <x:f aca="0">ROUND((IF((B480*C480)/90000&lt;1,1))+IF((B480*C480)/90000&gt;=1,(B480*C480)/90000),1.1)</x:f>
        <x:v>1</x:v>
      </x:c>
      <x:c r="J480" s="11" t="n">
        <x:f aca="0">SUM(F480*I480)</x:f>
        <x:v>0</x:v>
      </x:c>
      <x:c r="K480" s="11" t="n">
        <x:f aca="0">SUM(H480*J480)</x:f>
        <x:v>0</x:v>
      </x:c>
      <x:c r="L480" s="11"/>
      <x:c r="M480" s="11" t="n">
        <x:f aca="0">SUM(C480-1)</x:f>
        <x:v>-1</x:v>
      </x:c>
      <x:c r="N480" s="11" t="n">
        <x:f aca="0">SUM(B480-1)</x:f>
        <x:v>-1</x:v>
      </x:c>
      <x:c r="O480" s="11" t="n">
        <x:f aca="0">SUM(F480*1)</x:f>
        <x:v>0</x:v>
      </x:c>
      <x:c r="P480" s="11"/>
      <x:c r="Q480" s="11" t="str">
        <x:f aca="0">A480</x:f>
        <x:v>側板</x:v>
      </x:c>
      <x:c r="R480" s="1" t="n">
        <x:f aca="0">SUM(B480*2+C480*2)*F480</x:f>
        <x:v>0</x:v>
      </x:c>
      <x:c r="T480"/>
    </x:row>
    <x:row r="481" ht="22.200000762939453" hidden="0">
      <x:c r="A481" s="10" t="s">
        <x:v>18</x:v>
      </x:c>
      <x:c r="B481" s="10"/>
      <x:c r="C481" s="10"/>
      <x:c r="D481" s="10" t="n">
        <x:v>18</x:v>
      </x:c>
      <x:c r="E481" s="10"/>
      <x:c r="F481" s="10"/>
      <x:c r="G481" s="10"/>
      <x:c r="H481" s="10" t="n">
        <x:v>69</x:v>
      </x:c>
      <x:c r="I481" s="11" t="n">
        <x:f aca="0">ROUND((IF((B481*C481)/90000&lt;1,1))+IF((B481*C481)/90000&gt;=1,(B481*C481)/90000),1.1)</x:f>
        <x:v>1</x:v>
      </x:c>
      <x:c r="J481" s="11" t="n">
        <x:f aca="0">SUM(F481*I481)</x:f>
        <x:v>0</x:v>
      </x:c>
      <x:c r="K481" s="11" t="n">
        <x:f aca="0">SUM(H481*J481)</x:f>
        <x:v>0</x:v>
      </x:c>
      <x:c r="L481" s="11"/>
      <x:c r="M481" s="11" t="n">
        <x:f aca="0">SUM(C481-1)</x:f>
        <x:v>-1</x:v>
      </x:c>
      <x:c r="N481" s="11" t="n">
        <x:f aca="0">SUM(B481-1)</x:f>
        <x:v>-1</x:v>
      </x:c>
      <x:c r="O481" s="11" t="n">
        <x:f aca="0">SUM(F481*1)</x:f>
        <x:v>0</x:v>
      </x:c>
      <x:c r="P481" s="11"/>
      <x:c r="Q481" s="11" t="str">
        <x:f aca="0">A481</x:f>
        <x:v>側板</x:v>
      </x:c>
      <x:c r="R481" s="1" t="n">
        <x:f aca="0">SUM(B481*2+C481*2)*F481</x:f>
        <x:v>0</x:v>
      </x:c>
      <x:c r="T481"/>
    </x:row>
    <x:row r="482" ht="22.200000762939453" hidden="0">
      <x:c r="A482" s="10" t="s">
        <x:v>19</x:v>
      </x:c>
      <x:c r="B482" s="10"/>
      <x:c r="C482" s="10"/>
      <x:c r="D482" s="10" t="n">
        <x:v>18</x:v>
      </x:c>
      <x:c r="E482" s="10"/>
      <x:c r="F482" s="10"/>
      <x:c r="G482" s="10"/>
      <x:c r="H482" s="10" t="n">
        <x:v>69</x:v>
      </x:c>
      <x:c r="I482" s="11" t="n">
        <x:f aca="0">ROUND((IF((B482*C482)/90000&lt;1,1))+IF((B482*C482)/90000&gt;=1,(B482*C482)/90000),1.1)</x:f>
        <x:v>1</x:v>
      </x:c>
      <x:c r="J482" s="11" t="n">
        <x:f aca="0">SUM(F482*I482)</x:f>
        <x:v>0</x:v>
      </x:c>
      <x:c r="K482" s="11" t="n">
        <x:f aca="0">SUM(H482*J482)</x:f>
        <x:v>0</x:v>
      </x:c>
      <x:c r="L482" s="11"/>
      <x:c r="M482" s="11" t="n">
        <x:f aca="0">SUM(C482)</x:f>
        <x:v>0</x:v>
      </x:c>
      <x:c r="N482" s="11" t="n">
        <x:f aca="0">SUM(B482-1)</x:f>
        <x:v>-1</x:v>
      </x:c>
      <x:c r="O482" s="11" t="n">
        <x:f aca="0">SUM(F482*1)</x:f>
        <x:v>0</x:v>
      </x:c>
      <x:c r="P482" s="11"/>
      <x:c r="Q482" s="11" t="str">
        <x:f aca="0">A482</x:f>
        <x:v>頂底板</x:v>
      </x:c>
      <x:c r="R482" s="1" t="n">
        <x:f aca="0">SUM(C482*2)*F482</x:f>
        <x:v>0</x:v>
      </x:c>
      <x:c r="T482"/>
    </x:row>
    <x:row r="483" ht="22.200000762939453" hidden="0">
      <x:c r="A483" s="10" t="s">
        <x:v>19</x:v>
      </x:c>
      <x:c r="B483" s="10"/>
      <x:c r="C483" s="10"/>
      <x:c r="D483" s="10" t="n">
        <x:v>18</x:v>
      </x:c>
      <x:c r="E483" s="10"/>
      <x:c r="F483" s="10"/>
      <x:c r="G483" s="10"/>
      <x:c r="H483" s="10" t="n">
        <x:v>69</x:v>
      </x:c>
      <x:c r="I483" s="11" t="n">
        <x:f aca="0">ROUND((IF((B483*C483)/90000&lt;1,1))+IF((B483*C483)/90000&gt;=1,(B483*C483)/90000),1.1)</x:f>
        <x:v>1</x:v>
      </x:c>
      <x:c r="J483" s="11" t="n">
        <x:f aca="0">SUM(F483*I483)</x:f>
        <x:v>0</x:v>
      </x:c>
      <x:c r="K483" s="11" t="n">
        <x:f aca="0">SUM(H483*J483)</x:f>
        <x:v>0</x:v>
      </x:c>
      <x:c r="L483" s="11"/>
      <x:c r="M483" s="11" t="n">
        <x:f aca="0">SUM(C483)</x:f>
        <x:v>0</x:v>
      </x:c>
      <x:c r="N483" s="11" t="n">
        <x:f aca="0">SUM(B483-1)</x:f>
        <x:v>-1</x:v>
      </x:c>
      <x:c r="O483" s="11" t="n">
        <x:f aca="0">SUM(F483*1)</x:f>
        <x:v>0</x:v>
      </x:c>
      <x:c r="P483" s="11"/>
      <x:c r="Q483" s="11" t="str">
        <x:f aca="0">A483</x:f>
        <x:v>頂底板</x:v>
      </x:c>
      <x:c r="R483" s="1" t="n">
        <x:f aca="0">SUM(C483*2)*F483</x:f>
        <x:v>0</x:v>
      </x:c>
      <x:c r="T483"/>
    </x:row>
    <x:row r="484" ht="22.200000762939453" hidden="0">
      <x:c r="A484" s="10" t="s">
        <x:v>19</x:v>
      </x:c>
      <x:c r="B484" s="10"/>
      <x:c r="C484" s="10"/>
      <x:c r="D484" s="10" t="n">
        <x:v>18</x:v>
      </x:c>
      <x:c r="E484" s="10"/>
      <x:c r="F484" s="10"/>
      <x:c r="G484" s="10"/>
      <x:c r="H484" s="10" t="n">
        <x:v>69</x:v>
      </x:c>
      <x:c r="I484" s="11" t="n">
        <x:f aca="0">ROUND((IF((B484*C484)/90000&lt;1,1))+IF((B484*C484)/90000&gt;=1,(B484*C484)/90000),1.1)</x:f>
        <x:v>1</x:v>
      </x:c>
      <x:c r="J484" s="11" t="n">
        <x:f aca="0">SUM(F484*I484)</x:f>
        <x:v>0</x:v>
      </x:c>
      <x:c r="K484" s="11" t="n">
        <x:f aca="0">SUM(H484*J484)</x:f>
        <x:v>0</x:v>
      </x:c>
      <x:c r="L484" s="11"/>
      <x:c r="M484" s="11" t="n">
        <x:f aca="0">SUM(C484)</x:f>
        <x:v>0</x:v>
      </x:c>
      <x:c r="N484" s="11" t="n">
        <x:f aca="0">SUM(B484-1)</x:f>
        <x:v>-1</x:v>
      </x:c>
      <x:c r="O484" s="11" t="n">
        <x:f aca="0">SUM(F484*1)</x:f>
        <x:v>0</x:v>
      </x:c>
      <x:c r="P484" s="11"/>
      <x:c r="Q484" s="11" t="str">
        <x:f aca="0">A484</x:f>
        <x:v>頂底板</x:v>
      </x:c>
      <x:c r="R484" s="1" t="n">
        <x:f aca="0">SUM(C484*2)*F484</x:f>
        <x:v>0</x:v>
      </x:c>
      <x:c r="T484"/>
    </x:row>
    <x:row r="485" ht="22.200000762939453" hidden="0">
      <x:c r="A485" s="10" t="s">
        <x:v>20</x:v>
      </x:c>
      <x:c r="B485" s="10"/>
      <x:c r="C485" s="10"/>
      <x:c r="D485" s="10" t="n">
        <x:v>18</x:v>
      </x:c>
      <x:c r="E485" s="10"/>
      <x:c r="F485" s="10"/>
      <x:c r="G485" s="10"/>
      <x:c r="H485" s="10" t="n">
        <x:v>74</x:v>
      </x:c>
      <x:c r="I485" s="11" t="n">
        <x:f aca="0">ROUND((IF((B485*C485)/90000&lt;1,1))+IF((B485*C485)/90000&gt;=1,(B485*C485)/90000),1.1)</x:f>
        <x:v>1</x:v>
      </x:c>
      <x:c r="J485" s="11" t="n">
        <x:f aca="0">SUM(F485*I485)</x:f>
        <x:v>0</x:v>
      </x:c>
      <x:c r="K485" s="11" t="n">
        <x:f aca="0">SUM(H485*J485)</x:f>
        <x:v>0</x:v>
      </x:c>
      <x:c r="L485" s="11"/>
      <x:c r="M485" s="11" t="n">
        <x:f aca="0">SUM(C485)</x:f>
        <x:v>0</x:v>
      </x:c>
      <x:c r="N485" s="11" t="n">
        <x:f aca="0">SUM(B485-1)</x:f>
        <x:v>-1</x:v>
      </x:c>
      <x:c r="O485" s="11" t="n">
        <x:f aca="0">SUM(F485*1)</x:f>
        <x:v>0</x:v>
      </x:c>
      <x:c r="P485" s="11"/>
      <x:c r="Q485" s="11" t="str">
        <x:f aca="0">A485</x:f>
        <x:v>中立板</x:v>
      </x:c>
      <x:c r="R485" s="1" t="n">
        <x:f aca="0">SUM(C485*1)*F485</x:f>
        <x:v>0</x:v>
      </x:c>
      <x:c r="T485"/>
    </x:row>
    <x:row r="486" ht="22.200000762939453" hidden="0">
      <x:c r="A486" s="10" t="s">
        <x:v>20</x:v>
      </x:c>
      <x:c r="B486" s="10"/>
      <x:c r="C486" s="10"/>
      <x:c r="D486" s="10" t="n">
        <x:v>18</x:v>
      </x:c>
      <x:c r="E486" s="10"/>
      <x:c r="F486" s="10"/>
      <x:c r="G486" s="10"/>
      <x:c r="H486" s="10" t="n">
        <x:v>74</x:v>
      </x:c>
      <x:c r="I486" s="11" t="n">
        <x:f aca="0">ROUND((IF((B486*C486)/90000&lt;1,1))+IF((B486*C486)/90000&gt;=1,(B486*C486)/90000),1.1)</x:f>
        <x:v>1</x:v>
      </x:c>
      <x:c r="J486" s="11" t="n">
        <x:f aca="0">SUM(F486*I486)</x:f>
        <x:v>0</x:v>
      </x:c>
      <x:c r="K486" s="11" t="n">
        <x:f aca="0">SUM(H486*J486)</x:f>
        <x:v>0</x:v>
      </x:c>
      <x:c r="L486" s="11"/>
      <x:c r="M486" s="11" t="n">
        <x:f aca="0">SUM(C486)</x:f>
        <x:v>0</x:v>
      </x:c>
      <x:c r="N486" s="11" t="n">
        <x:f aca="0">SUM(B486-1)</x:f>
        <x:v>-1</x:v>
      </x:c>
      <x:c r="O486" s="11" t="n">
        <x:f aca="0">SUM(F486*1)</x:f>
        <x:v>0</x:v>
      </x:c>
      <x:c r="P486" s="11"/>
      <x:c r="Q486" s="11" t="str">
        <x:f aca="0">A486</x:f>
        <x:v>中立板</x:v>
      </x:c>
      <x:c r="R486" s="1" t="n">
        <x:f aca="0">SUM(C486*1)*F486</x:f>
        <x:v>0</x:v>
      </x:c>
      <x:c r="T486"/>
    </x:row>
    <x:row r="487" ht="22.200000762939453" hidden="0">
      <x:c r="A487" s="10" t="s">
        <x:v>21</x:v>
      </x:c>
      <x:c r="B487" s="10"/>
      <x:c r="C487" s="10"/>
      <x:c r="D487" s="10" t="n">
        <x:v>18</x:v>
      </x:c>
      <x:c r="E487" s="10"/>
      <x:c r="F487" s="10"/>
      <x:c r="G487" s="10"/>
      <x:c r="H487" s="10" t="n">
        <x:v>69</x:v>
      </x:c>
      <x:c r="I487" s="11" t="n">
        <x:f aca="0">ROUND((IF((B487*C487)/90000&lt;1,1))+IF((B487*C487)/90000&gt;=1,(B487*C487)/90000),1.1)</x:f>
        <x:v>1</x:v>
      </x:c>
      <x:c r="J487" s="11" t="n">
        <x:f aca="0">SUM(F487*I487)</x:f>
        <x:v>0</x:v>
      </x:c>
      <x:c r="K487" s="11" t="n">
        <x:f aca="0">SUM(H487*J487)</x:f>
        <x:v>0</x:v>
      </x:c>
      <x:c r="L487" s="11"/>
      <x:c r="M487" s="11" t="n">
        <x:f aca="0">SUM(C487)</x:f>
        <x:v>0</x:v>
      </x:c>
      <x:c r="N487" s="11" t="n">
        <x:f aca="0">SUM(B487-1)</x:f>
        <x:v>-1</x:v>
      </x:c>
      <x:c r="O487" s="11" t="n">
        <x:f aca="0">SUM(F487*1)</x:f>
        <x:v>0</x:v>
      </x:c>
      <x:c r="P487" s="11"/>
      <x:c r="Q487" s="11" t="str">
        <x:f aca="0">A487</x:f>
        <x:v>固格板</x:v>
      </x:c>
      <x:c r="R487" s="1" t="n">
        <x:f aca="0">SUM(C487*1)*F487</x:f>
        <x:v>0</x:v>
      </x:c>
      <x:c r="T487"/>
    </x:row>
    <x:row r="488" ht="22.200000762939453" hidden="0">
      <x:c r="A488" s="10" t="s">
        <x:v>21</x:v>
      </x:c>
      <x:c r="B488" s="10"/>
      <x:c r="C488" s="10"/>
      <x:c r="D488" s="10" t="n">
        <x:v>18</x:v>
      </x:c>
      <x:c r="E488" s="10"/>
      <x:c r="F488" s="10"/>
      <x:c r="G488" s="10"/>
      <x:c r="H488" s="10" t="n">
        <x:v>69</x:v>
      </x:c>
      <x:c r="I488" s="11" t="n">
        <x:f aca="0">ROUND((IF((B488*C488)/90000&lt;1,1))+IF((B488*C488)/90000&gt;=1,(B488*C488)/90000),1.1)</x:f>
        <x:v>1</x:v>
      </x:c>
      <x:c r="J488" s="11" t="n">
        <x:f aca="0">SUM(F488*I488)</x:f>
        <x:v>0</x:v>
      </x:c>
      <x:c r="K488" s="11" t="n">
        <x:f aca="0">SUM(H488*J488)</x:f>
        <x:v>0</x:v>
      </x:c>
      <x:c r="L488" s="11"/>
      <x:c r="M488" s="11" t="n">
        <x:f aca="0">SUM(C488)</x:f>
        <x:v>0</x:v>
      </x:c>
      <x:c r="N488" s="11" t="n">
        <x:f aca="0">SUM(B488-1)</x:f>
        <x:v>-1</x:v>
      </x:c>
      <x:c r="O488" s="11" t="n">
        <x:f aca="0">SUM(F488*1)</x:f>
        <x:v>0</x:v>
      </x:c>
      <x:c r="P488" s="11"/>
      <x:c r="Q488" s="11" t="str">
        <x:f aca="0">A488</x:f>
        <x:v>固格板</x:v>
      </x:c>
      <x:c r="R488" s="1" t="n">
        <x:f aca="0">SUM(C488*1)*F488</x:f>
        <x:v>0</x:v>
      </x:c>
      <x:c r="T488"/>
    </x:row>
    <x:row r="489" ht="22.200000762939453" hidden="0">
      <x:c r="A489" s="10" t="s">
        <x:v>21</x:v>
      </x:c>
      <x:c r="B489" s="10"/>
      <x:c r="C489" s="10"/>
      <x:c r="D489" s="10" t="n">
        <x:v>18</x:v>
      </x:c>
      <x:c r="E489" s="10"/>
      <x:c r="F489" s="10"/>
      <x:c r="G489" s="10"/>
      <x:c r="H489" s="10" t="n">
        <x:v>69</x:v>
      </x:c>
      <x:c r="I489" s="11" t="n">
        <x:f aca="0">ROUND((IF((B489*C489)/90000&lt;1,1))+IF((B489*C489)/90000&gt;=1,(B489*C489)/90000),1.1)</x:f>
        <x:v>1</x:v>
      </x:c>
      <x:c r="J489" s="11" t="n">
        <x:f aca="0">SUM(F489*I489)</x:f>
        <x:v>0</x:v>
      </x:c>
      <x:c r="K489" s="11" t="n">
        <x:f aca="0">SUM(H489*J489)</x:f>
        <x:v>0</x:v>
      </x:c>
      <x:c r="L489" s="11"/>
      <x:c r="M489" s="11" t="n">
        <x:f aca="0">SUM(C489)</x:f>
        <x:v>0</x:v>
      </x:c>
      <x:c r="N489" s="11" t="n">
        <x:f aca="0">SUM(B489-1)</x:f>
        <x:v>-1</x:v>
      </x:c>
      <x:c r="O489" s="11" t="n">
        <x:f aca="0">SUM(F489*1)</x:f>
        <x:v>0</x:v>
      </x:c>
      <x:c r="P489" s="11"/>
      <x:c r="Q489" s="11" t="str">
        <x:f aca="0">A489</x:f>
        <x:v>固格板</x:v>
      </x:c>
      <x:c r="R489" s="1" t="n">
        <x:f aca="0">SUM(C489*1)*F489</x:f>
        <x:v>0</x:v>
      </x:c>
      <x:c r="T489"/>
    </x:row>
    <x:row r="490" ht="22.200000762939453" hidden="0">
      <x:c r="A490" s="10" t="s">
        <x:v>22</x:v>
      </x:c>
      <x:c r="B490" s="10"/>
      <x:c r="C490" s="10"/>
      <x:c r="D490" s="10" t="n">
        <x:v>18</x:v>
      </x:c>
      <x:c r="E490" s="10"/>
      <x:c r="F490" s="10"/>
      <x:c r="G490" s="10"/>
      <x:c r="H490" s="10" t="n">
        <x:v>69</x:v>
      </x:c>
      <x:c r="I490" s="11" t="n">
        <x:f aca="0">ROUND((IF((B490*C490)/90000&lt;1,1))+IF((B490*C490)/90000&gt;=1,(B490*C490)/90000),1.1)</x:f>
        <x:v>1</x:v>
      </x:c>
      <x:c r="J490" s="11" t="n">
        <x:f aca="0">SUM(F490*I490)</x:f>
        <x:v>0</x:v>
      </x:c>
      <x:c r="K490" s="11" t="n">
        <x:f aca="0">SUM(H490*J490)</x:f>
        <x:v>0</x:v>
      </x:c>
      <x:c r="L490" s="11"/>
      <x:c r="M490" s="11" t="n">
        <x:f aca="0">SUM(C490-1)</x:f>
        <x:v>-1</x:v>
      </x:c>
      <x:c r="N490" s="11" t="n">
        <x:f aca="0">SUM(B490-1)</x:f>
        <x:v>-1</x:v>
      </x:c>
      <x:c r="O490" s="11" t="n">
        <x:f aca="0">SUM(F490*1)</x:f>
        <x:v>0</x:v>
      </x:c>
      <x:c r="P490" s="11"/>
      <x:c r="Q490" s="11" t="str">
        <x:f aca="0">A490</x:f>
        <x:v>活格板</x:v>
      </x:c>
      <x:c r="R490" s="1" t="n">
        <x:f aca="0">SUM(B490*2+C490*2)*F490</x:f>
        <x:v>0</x:v>
      </x:c>
      <x:c r="T490"/>
    </x:row>
    <x:row r="491" ht="22.200000762939453" hidden="0">
      <x:c r="A491" s="10" t="s">
        <x:v>22</x:v>
      </x:c>
      <x:c r="B491" s="10"/>
      <x:c r="C491" s="10"/>
      <x:c r="D491" s="10" t="n">
        <x:v>18</x:v>
      </x:c>
      <x:c r="E491" s="10"/>
      <x:c r="F491" s="10"/>
      <x:c r="G491" s="10"/>
      <x:c r="H491" s="10" t="n">
        <x:v>69</x:v>
      </x:c>
      <x:c r="I491" s="11" t="n">
        <x:f aca="0">ROUND((IF((B491*C491)/90000&lt;1,1))+IF((B491*C491)/90000&gt;=1,(B491*C491)/90000),1.1)</x:f>
        <x:v>1</x:v>
      </x:c>
      <x:c r="J491" s="11" t="n">
        <x:f aca="0">SUM(F491*I491)</x:f>
        <x:v>0</x:v>
      </x:c>
      <x:c r="K491" s="11" t="n">
        <x:f aca="0">SUM(H491*J491)</x:f>
        <x:v>0</x:v>
      </x:c>
      <x:c r="L491" s="11"/>
      <x:c r="M491" s="11" t="n">
        <x:f aca="0">SUM(C491-1)</x:f>
        <x:v>-1</x:v>
      </x:c>
      <x:c r="N491" s="11" t="n">
        <x:f aca="0">SUM(B491-1)</x:f>
        <x:v>-1</x:v>
      </x:c>
      <x:c r="O491" s="11" t="n">
        <x:f aca="0">SUM(F491*1)</x:f>
        <x:v>0</x:v>
      </x:c>
      <x:c r="P491" s="11"/>
      <x:c r="Q491" s="11" t="str">
        <x:f aca="0">A491</x:f>
        <x:v>活格板</x:v>
      </x:c>
      <x:c r="R491" s="1" t="n">
        <x:f aca="0">SUM(B491*2+C491*2)*F491</x:f>
        <x:v>0</x:v>
      </x:c>
      <x:c r="T491"/>
    </x:row>
    <x:row r="492" ht="22.200000762939453" hidden="0">
      <x:c r="A492" s="10" t="s">
        <x:v>22</x:v>
      </x:c>
      <x:c r="B492" s="10"/>
      <x:c r="C492" s="10"/>
      <x:c r="D492" s="10" t="n">
        <x:v>18</x:v>
      </x:c>
      <x:c r="E492" s="10"/>
      <x:c r="F492" s="10"/>
      <x:c r="G492" s="10"/>
      <x:c r="H492" s="10" t="n">
        <x:v>69</x:v>
      </x:c>
      <x:c r="I492" s="11" t="n">
        <x:f aca="0">ROUND((IF((B492*C492)/90000&lt;1,1))+IF((B492*C492)/90000&gt;=1,(B492*C492)/90000),1.1)</x:f>
        <x:v>1</x:v>
      </x:c>
      <x:c r="J492" s="11" t="n">
        <x:f aca="0">SUM(F492*I492)</x:f>
        <x:v>0</x:v>
      </x:c>
      <x:c r="K492" s="11" t="n">
        <x:f aca="0">SUM(H492*J492)</x:f>
        <x:v>0</x:v>
      </x:c>
      <x:c r="L492" s="11"/>
      <x:c r="M492" s="11" t="n">
        <x:f aca="0">SUM(C492-1)</x:f>
        <x:v>-1</x:v>
      </x:c>
      <x:c r="N492" s="11" t="n">
        <x:f aca="0">SUM(B492-1)</x:f>
        <x:v>-1</x:v>
      </x:c>
      <x:c r="O492" s="11" t="n">
        <x:f aca="0">SUM(F492*1)</x:f>
        <x:v>0</x:v>
      </x:c>
      <x:c r="P492" s="11"/>
      <x:c r="Q492" s="11" t="str">
        <x:f aca="0">A492</x:f>
        <x:v>活格板</x:v>
      </x:c>
      <x:c r="R492" s="1" t="n">
        <x:f aca="0">SUM(B492*2+C492*2)*F492</x:f>
        <x:v>0</x:v>
      </x:c>
      <x:c r="T492"/>
    </x:row>
    <x:row r="493" ht="22.200000762939453" hidden="0">
      <x:c r="A493" s="10" t="s">
        <x:v>22</x:v>
      </x:c>
      <x:c r="B493" s="10"/>
      <x:c r="C493" s="10"/>
      <x:c r="D493" s="10" t="n">
        <x:v>18</x:v>
      </x:c>
      <x:c r="E493" s="10"/>
      <x:c r="F493" s="10"/>
      <x:c r="G493" s="10"/>
      <x:c r="H493" s="10" t="n">
        <x:v>69</x:v>
      </x:c>
      <x:c r="I493" s="11" t="n">
        <x:f aca="0">ROUND((IF((B493*C493)/90000&lt;1,1))+IF((B493*C493)/90000&gt;=1,(B493*C493)/90000),1.1)</x:f>
        <x:v>1</x:v>
      </x:c>
      <x:c r="J493" s="11" t="n">
        <x:f aca="0">SUM(F493*I493)</x:f>
        <x:v>0</x:v>
      </x:c>
      <x:c r="K493" s="11" t="n">
        <x:f aca="0">SUM(H493*J493)</x:f>
        <x:v>0</x:v>
      </x:c>
      <x:c r="L493" s="11"/>
      <x:c r="M493" s="11" t="n">
        <x:f aca="0">SUM(C493-1)</x:f>
        <x:v>-1</x:v>
      </x:c>
      <x:c r="N493" s="11" t="n">
        <x:f aca="0">SUM(B493-1)</x:f>
        <x:v>-1</x:v>
      </x:c>
      <x:c r="O493" s="11" t="n">
        <x:f aca="0">SUM(F493*1)</x:f>
        <x:v>0</x:v>
      </x:c>
      <x:c r="P493" s="11"/>
      <x:c r="Q493" s="11" t="str">
        <x:f aca="0">A493</x:f>
        <x:v>活格板</x:v>
      </x:c>
      <x:c r="R493" s="1" t="n">
        <x:f aca="0">SUM(B493*2+C493*2)*F493</x:f>
        <x:v>0</x:v>
      </x:c>
      <x:c r="T493"/>
    </x:row>
    <x:row r="494" ht="22.200000762939453" hidden="0">
      <x:c r="A494" s="10" t="s">
        <x:v>23</x:v>
      </x:c>
      <x:c r="B494" s="10"/>
      <x:c r="C494" s="10"/>
      <x:c r="D494" s="10" t="n">
        <x:v>18</x:v>
      </x:c>
      <x:c r="E494" s="10"/>
      <x:c r="F494" s="10"/>
      <x:c r="G494" s="10"/>
      <x:c r="H494" s="10" t="n">
        <x:v>69</x:v>
      </x:c>
      <x:c r="I494" s="11" t="n">
        <x:f aca="0">ROUND((IF((B494*C494)/90000&lt;1,1))+IF((B494*C494)/90000&gt;=1,(B494*C494)/90000),1.1)</x:f>
        <x:v>1</x:v>
      </x:c>
      <x:c r="J494" s="11" t="n">
        <x:f aca="0">SUM(F494*I494)</x:f>
        <x:v>0</x:v>
      </x:c>
      <x:c r="K494" s="11" t="n">
        <x:f aca="0">SUM(H494*J494)</x:f>
        <x:v>0</x:v>
      </x:c>
      <x:c r="L494" s="11"/>
      <x:c r="M494" s="11" t="n">
        <x:f aca="0">SUM(C494-1)</x:f>
        <x:v>-1</x:v>
      </x:c>
      <x:c r="N494" s="11" t="n">
        <x:f aca="0">SUM(B494-1)</x:f>
        <x:v>-1</x:v>
      </x:c>
      <x:c r="O494" s="11" t="n">
        <x:f aca="0">SUM(F494*1)</x:f>
        <x:v>0</x:v>
      </x:c>
      <x:c r="P494" s="11"/>
      <x:c r="Q494" s="11" t="str">
        <x:f aca="0">A494</x:f>
        <x:v>抽框</x:v>
      </x:c>
      <x:c r="R494" s="1" t="n">
        <x:f aca="0">SUM(B494*2+C494*2)*F494</x:f>
        <x:v>0</x:v>
      </x:c>
      <x:c r="T494"/>
    </x:row>
    <x:row r="495" ht="22.200000762939453" hidden="0">
      <x:c r="A495" s="10" t="s">
        <x:v>24</x:v>
      </x:c>
      <x:c r="B495" s="10"/>
      <x:c r="C495" s="10"/>
      <x:c r="D495" s="10" t="n">
        <x:v>18</x:v>
      </x:c>
      <x:c r="E495" s="10"/>
      <x:c r="F495" s="10"/>
      <x:c r="G495" s="10"/>
      <x:c r="H495" s="10" t="n">
        <x:v>69</x:v>
      </x:c>
      <x:c r="I495" s="11" t="n">
        <x:f aca="0">ROUND((IF((B495*C495)/90000&lt;1,1))+IF((B495*C495)/90000&gt;=1,(B495*C495)/90000),1.1)</x:f>
        <x:v>1</x:v>
      </x:c>
      <x:c r="J495" s="11" t="n">
        <x:f aca="0">SUM(F495*I495)</x:f>
        <x:v>0</x:v>
      </x:c>
      <x:c r="K495" s="11" t="n">
        <x:f aca="0">SUM(H495*J495)</x:f>
        <x:v>0</x:v>
      </x:c>
      <x:c r="L495" s="11"/>
      <x:c r="M495" s="11" t="n">
        <x:f aca="0">SUM(C495-1)</x:f>
        <x:v>-1</x:v>
      </x:c>
      <x:c r="N495" s="11" t="n">
        <x:f aca="0">SUM(B495-1)</x:f>
        <x:v>-1</x:v>
      </x:c>
      <x:c r="O495" s="11" t="n">
        <x:f aca="0">SUM(F495*1)</x:f>
        <x:v>0</x:v>
      </x:c>
      <x:c r="P495" s="11"/>
      <x:c r="Q495" s="11" t="str">
        <x:f aca="0">A495</x:f>
        <x:v>框中立</x:v>
      </x:c>
      <x:c r="R495" s="1" t="n">
        <x:f aca="0">SUM(B495*2+C495*2)*F495</x:f>
        <x:v>0</x:v>
      </x:c>
      <x:c r="T495"/>
    </x:row>
    <x:row r="496" ht="22.200000762939453" hidden="0">
      <x:c r="A496" s="10" t="s">
        <x:v>25</x:v>
      </x:c>
      <x:c r="B496" s="10"/>
      <x:c r="C496" s="10"/>
      <x:c r="D496" s="10" t="n">
        <x:v>18</x:v>
      </x:c>
      <x:c r="E496" s="10"/>
      <x:c r="F496" s="10"/>
      <x:c r="G496" s="10"/>
      <x:c r="H496" s="10" t="n">
        <x:v>69</x:v>
      </x:c>
      <x:c r="I496" s="11" t="n">
        <x:f aca="0">ROUND((IF((B496*C496)/90000&lt;1,1))+IF((B496*C496)/90000&gt;=1,(B496*C496)/90000),1.1)</x:f>
        <x:v>1</x:v>
      </x:c>
      <x:c r="J496" s="11" t="n">
        <x:f aca="0">SUM(F496*I496)</x:f>
        <x:v>0</x:v>
      </x:c>
      <x:c r="K496" s="11" t="n">
        <x:f aca="0">SUM(H496*J496)</x:f>
        <x:v>0</x:v>
      </x:c>
      <x:c r="L496" s="11"/>
      <x:c r="M496" s="11" t="n">
        <x:f aca="0">SUM(C496)</x:f>
        <x:v>0</x:v>
      </x:c>
      <x:c r="N496" s="11" t="n">
        <x:f aca="0">SUM(B496-1)</x:f>
        <x:v>-1</x:v>
      </x:c>
      <x:c r="O496" s="11" t="n">
        <x:f aca="0">SUM(F496*1)</x:f>
        <x:v>0</x:v>
      </x:c>
      <x:c r="P496" s="11"/>
      <x:c r="Q496" s="11" t="str">
        <x:f aca="0">A496</x:f>
        <x:v>橫木</x:v>
      </x:c>
      <x:c r="R496" s="1" t="n">
        <x:f aca="0">SUM(C496*2)*F496</x:f>
        <x:v>0</x:v>
      </x:c>
      <x:c r="T496"/>
    </x:row>
    <x:row r="497" ht="22.200000762939453" hidden="0">
      <x:c r="A497" s="10" t="s">
        <x:v>26</x:v>
      </x:c>
      <x:c r="B497" s="10"/>
      <x:c r="C497" s="10"/>
      <x:c r="D497" s="10" t="n">
        <x:v>18</x:v>
      </x:c>
      <x:c r="E497" s="10"/>
      <x:c r="F497" s="10"/>
      <x:c r="G497" s="10"/>
      <x:c r="H497" s="10" t="n">
        <x:v>69</x:v>
      </x:c>
      <x:c r="I497" s="11" t="n">
        <x:f aca="0">ROUND((IF((B497*C497)/90000&lt;1,1))+IF((B497*C497)/90000&gt;=1,(B497*C497)/90000),1.1)</x:f>
        <x:v>1</x:v>
      </x:c>
      <x:c r="J497" s="11" t="n">
        <x:f aca="0">SUM(F497*I497)</x:f>
        <x:v>0</x:v>
      </x:c>
      <x:c r="K497" s="11" t="n">
        <x:f aca="0">SUM(H497*J497)</x:f>
        <x:v>0</x:v>
      </x:c>
      <x:c r="L497" s="11"/>
      <x:c r="M497" s="11" t="n">
        <x:f aca="0">SUM(C497)</x:f>
        <x:v>0</x:v>
      </x:c>
      <x:c r="N497" s="11" t="n">
        <x:f aca="0">SUM(B497-1)</x:f>
        <x:v>-1</x:v>
      </x:c>
      <x:c r="O497" s="11" t="n">
        <x:f aca="0">SUM(F497*1)</x:f>
        <x:v>0</x:v>
      </x:c>
      <x:c r="P497" s="11"/>
      <x:c r="Q497" s="11" t="str">
        <x:f aca="0">A497</x:f>
        <x:v>前抽牆</x:v>
      </x:c>
      <x:c r="R497" s="1" t="n">
        <x:f aca="0">SUM(C497*2)*F497</x:f>
        <x:v>0</x:v>
      </x:c>
      <x:c r="T497"/>
    </x:row>
    <x:row r="498" ht="22.200000762939453" hidden="0">
      <x:c r="A498" s="10" t="s">
        <x:v>26</x:v>
      </x:c>
      <x:c r="B498" s="10"/>
      <x:c r="C498" s="10"/>
      <x:c r="D498" s="10" t="n">
        <x:v>18</x:v>
      </x:c>
      <x:c r="E498" s="10"/>
      <x:c r="F498" s="10"/>
      <x:c r="G498" s="10"/>
      <x:c r="H498" s="10" t="n">
        <x:v>69</x:v>
      </x:c>
      <x:c r="I498" s="11" t="n">
        <x:f aca="0">ROUND((IF((B498*C498)/90000&lt;1,1))+IF((B498*C498)/90000&gt;=1,(B498*C498)/90000),1.1)</x:f>
        <x:v>1</x:v>
      </x:c>
      <x:c r="J498" s="11" t="n">
        <x:f aca="0">SUM(F498*I498)</x:f>
        <x:v>0</x:v>
      </x:c>
      <x:c r="K498" s="11" t="n">
        <x:f aca="0">SUM(H498*J498)</x:f>
        <x:v>0</x:v>
      </x:c>
      <x:c r="L498" s="11"/>
      <x:c r="M498" s="11" t="n">
        <x:f aca="0">SUM(C498)</x:f>
        <x:v>0</x:v>
      </x:c>
      <x:c r="N498" s="11" t="n">
        <x:f aca="0">SUM(B498-1)</x:f>
        <x:v>-1</x:v>
      </x:c>
      <x:c r="O498" s="11" t="n">
        <x:f aca="0">SUM(F498*1)</x:f>
        <x:v>0</x:v>
      </x:c>
      <x:c r="P498" s="11"/>
      <x:c r="Q498" s="11" t="str">
        <x:f aca="0">A498</x:f>
        <x:v>前抽牆</x:v>
      </x:c>
      <x:c r="R498" s="1" t="n">
        <x:f aca="0">SUM(C498*2)*F498</x:f>
        <x:v>0</x:v>
      </x:c>
      <x:c r="T498"/>
    </x:row>
    <x:row r="499" ht="22.200000762939453" hidden="0">
      <x:c r="A499" s="10" t="s">
        <x:v>27</x:v>
      </x:c>
      <x:c r="B499" s="10"/>
      <x:c r="C499" s="10"/>
      <x:c r="D499" s="10" t="n">
        <x:v>18</x:v>
      </x:c>
      <x:c r="E499" s="10"/>
      <x:c r="F499" s="10"/>
      <x:c r="G499" s="10"/>
      <x:c r="H499" s="10" t="n">
        <x:v>69</x:v>
      </x:c>
      <x:c r="I499" s="11" t="n">
        <x:f aca="0">ROUND((IF((B499*C499)/90000&lt;1,1))+IF((B499*C499)/90000&gt;=1,(B499*C499)/90000),1.1)</x:f>
        <x:v>1</x:v>
      </x:c>
      <x:c r="J499" s="11" t="n">
        <x:f aca="0">SUM(F499*I499)</x:f>
        <x:v>0</x:v>
      </x:c>
      <x:c r="K499" s="11" t="n">
        <x:f aca="0">SUM(H499*J499)</x:f>
        <x:v>0</x:v>
      </x:c>
      <x:c r="L499" s="11"/>
      <x:c r="M499" s="11" t="n">
        <x:f aca="0">SUM(C499)</x:f>
        <x:v>0</x:v>
      </x:c>
      <x:c r="N499" s="11" t="n">
        <x:f aca="0">SUM(B499-1)</x:f>
        <x:v>-1</x:v>
      </x:c>
      <x:c r="O499" s="11" t="n">
        <x:f aca="0">SUM(F499*1)</x:f>
        <x:v>0</x:v>
      </x:c>
      <x:c r="P499" s="11"/>
      <x:c r="Q499" s="11" t="str">
        <x:f aca="0">A499</x:f>
        <x:v>邊抽牆</x:v>
      </x:c>
      <x:c r="R499" s="1" t="n">
        <x:f aca="0">SUM(C499*2)*F499</x:f>
        <x:v>0</x:v>
      </x:c>
      <x:c r="T499"/>
    </x:row>
    <x:row r="500" ht="22.200000762939453" hidden="0">
      <x:c r="A500" s="10" t="s">
        <x:v>27</x:v>
      </x:c>
      <x:c r="B500" s="10"/>
      <x:c r="C500" s="10"/>
      <x:c r="D500" s="10" t="n">
        <x:v>18</x:v>
      </x:c>
      <x:c r="E500" s="10"/>
      <x:c r="F500" s="10"/>
      <x:c r="G500" s="10"/>
      <x:c r="H500" s="10" t="n">
        <x:v>69</x:v>
      </x:c>
      <x:c r="I500" s="11" t="n">
        <x:f aca="0">ROUND((IF((B500*C500)/90000&lt;1,1))+IF((B500*C500)/90000&gt;=1,(B500*C500)/90000),1.1)</x:f>
        <x:v>1</x:v>
      </x:c>
      <x:c r="J500" s="11" t="n">
        <x:f aca="0">SUM(F500*I500)</x:f>
        <x:v>0</x:v>
      </x:c>
      <x:c r="K500" s="11" t="n">
        <x:f aca="0">SUM(H500*J500)</x:f>
        <x:v>0</x:v>
      </x:c>
      <x:c r="L500" s="11"/>
      <x:c r="M500" s="11" t="n">
        <x:f aca="0">SUM(C500)</x:f>
        <x:v>0</x:v>
      </x:c>
      <x:c r="N500" s="11" t="n">
        <x:f aca="0">SUM(B500-1)</x:f>
        <x:v>-1</x:v>
      </x:c>
      <x:c r="O500" s="11" t="n">
        <x:f aca="0">SUM(F500*1)</x:f>
        <x:v>0</x:v>
      </x:c>
      <x:c r="P500" s="11"/>
      <x:c r="Q500" s="11" t="str">
        <x:f aca="0">A500</x:f>
        <x:v>邊抽牆</x:v>
      </x:c>
      <x:c r="R500" s="1" t="n">
        <x:f aca="0">SUM(C500*2)*F500</x:f>
        <x:v>0</x:v>
      </x:c>
      <x:c r="T500"/>
    </x:row>
    <x:row r="501" ht="22.200000762939453" hidden="0">
      <x:c r="A501" s="10" t="s">
        <x:v>28</x:v>
      </x:c>
      <x:c r="B501" s="10"/>
      <x:c r="C501" s="10"/>
      <x:c r="D501" s="10" t="n">
        <x:v>8</x:v>
      </x:c>
      <x:c r="E501" s="10"/>
      <x:c r="F501" s="10"/>
      <x:c r="G501" s="10"/>
      <x:c r="H501" s="10" t="n">
        <x:v>50</x:v>
      </x:c>
      <x:c r="I501" s="11" t="n">
        <x:f aca="0">ROUND((IF((B501*C501)/90000&lt;1,1))+IF((B501*C501)/90000&gt;=1,(B501*C501)/90000),1.1)</x:f>
        <x:v>1</x:v>
      </x:c>
      <x:c r="J501" s="11" t="n">
        <x:f aca="0">SUM(F501*I501)</x:f>
        <x:v>0</x:v>
      </x:c>
      <x:c r="K501" s="11" t="n">
        <x:f aca="0">SUM(H501*J501)</x:f>
        <x:v>0</x:v>
      </x:c>
      <x:c r="L501" s="11"/>
      <x:c r="M501" s="11" t="n">
        <x:f aca="0">SUM(C501)</x:f>
        <x:v>0</x:v>
      </x:c>
      <x:c r="N501" s="11" t="n">
        <x:f aca="0">SUM(B501)</x:f>
        <x:v>0</x:v>
      </x:c>
      <x:c r="O501" s="11" t="n">
        <x:f aca="0">SUM(F501*1)</x:f>
        <x:v>0</x:v>
      </x:c>
      <x:c r="P501" s="11"/>
      <x:c r="Q501" s="11" t="str">
        <x:f aca="0">A501</x:f>
        <x:v>抽底板</x:v>
      </x:c>
      <x:c r="T501"/>
    </x:row>
    <x:row r="502" ht="22.200000762939453" hidden="0">
      <x:c r="A502" s="10" t="s">
        <x:v>28</x:v>
      </x:c>
      <x:c r="B502" s="10"/>
      <x:c r="C502" s="10"/>
      <x:c r="D502" s="10" t="n">
        <x:v>8</x:v>
      </x:c>
      <x:c r="E502" s="10"/>
      <x:c r="F502" s="10"/>
      <x:c r="G502" s="10"/>
      <x:c r="H502" s="10" t="n">
        <x:v>50</x:v>
      </x:c>
      <x:c r="I502" s="11" t="n">
        <x:f aca="0">ROUND((IF((B502*C502)/90000&lt;1,1))+IF((B502*C502)/90000&gt;=1,(B502*C502)/90000),1.1)</x:f>
        <x:v>1</x:v>
      </x:c>
      <x:c r="J502" s="11" t="n">
        <x:f aca="0">SUM(F502*I502)</x:f>
        <x:v>0</x:v>
      </x:c>
      <x:c r="K502" s="11" t="n">
        <x:f aca="0">SUM(H502*J502)</x:f>
        <x:v>0</x:v>
      </x:c>
      <x:c r="L502" s="11"/>
      <x:c r="M502" s="11" t="n">
        <x:f aca="0">SUM(C502)</x:f>
        <x:v>0</x:v>
      </x:c>
      <x:c r="N502" s="11" t="n">
        <x:f aca="0">SUM(B502)</x:f>
        <x:v>0</x:v>
      </x:c>
      <x:c r="O502" s="11" t="n">
        <x:f aca="0">SUM(F502*1)</x:f>
        <x:v>0</x:v>
      </x:c>
      <x:c r="P502" s="11"/>
      <x:c r="Q502" s="11" t="str">
        <x:f aca="0">A502</x:f>
        <x:v>抽底板</x:v>
      </x:c>
      <x:c r="T502"/>
    </x:row>
    <x:row r="503" ht="22.200000762939453" hidden="0">
      <x:c r="A503" s="12" t="s">
        <x:v>64</x:v>
      </x:c>
      <x:c r="B503" s="10"/>
      <x:c r="C503" s="10"/>
      <x:c r="D503" s="10" t="n">
        <x:v>18</x:v>
      </x:c>
      <x:c r="E503" s="10"/>
      <x:c r="F503" s="10"/>
      <x:c r="G503" s="10"/>
      <x:c r="H503" s="10" t="n">
        <x:v>84</x:v>
      </x:c>
      <x:c r="I503" s="11" t="n">
        <x:f aca="0">ROUND((IF((B503*C503)/90000&lt;1,1))+IF((B503*C503)/90000&gt;=1,(B503*C503)/90000),1.1)</x:f>
        <x:v>1</x:v>
      </x:c>
      <x:c r="J503" s="11" t="n">
        <x:f aca="0">SUM(F503*I503)</x:f>
        <x:v>0</x:v>
      </x:c>
      <x:c r="K503" s="11" t="n">
        <x:f aca="0">SUM(H503*J503)</x:f>
        <x:v>0</x:v>
      </x:c>
      <x:c r="L503" s="11"/>
      <x:c r="M503" s="11" t="n">
        <x:f aca="0">SUM(C503-2)</x:f>
        <x:v>-2</x:v>
      </x:c>
      <x:c r="N503" s="11" t="n">
        <x:f aca="0">SUM(B503-2)</x:f>
        <x:v>-2</x:v>
      </x:c>
      <x:c r="O503" s="11" t="n">
        <x:f aca="0">SUM(F503*1)</x:f>
        <x:v>0</x:v>
      </x:c>
      <x:c r="P503" s="11"/>
      <x:c r="Q503" s="11" t="str">
        <x:f aca="0">A503</x:f>
        <x:v>4E門板</x:v>
      </x:c>
      <x:c r="S503" s="1" t="n">
        <x:f aca="0">SUM(B503*2+C503*2)*F503</x:f>
        <x:v>0</x:v>
      </x:c>
      <x:c r="T503"/>
    </x:row>
    <x:row r="504" ht="22.200000762939453" hidden="0">
      <x:c r="A504" s="12" t="s">
        <x:v>64</x:v>
      </x:c>
      <x:c r="B504" s="10"/>
      <x:c r="C504" s="10"/>
      <x:c r="D504" s="10" t="n">
        <x:v>18</x:v>
      </x:c>
      <x:c r="E504" s="10"/>
      <x:c r="F504" s="10"/>
      <x:c r="G504" s="10"/>
      <x:c r="H504" s="10" t="n">
        <x:v>84</x:v>
      </x:c>
      <x:c r="I504" s="11" t="n">
        <x:f aca="0">ROUND((IF((B504*C504)/90000&lt;1,1))+IF((B504*C504)/90000&gt;=1,(B504*C504)/90000),1.1)</x:f>
        <x:v>1</x:v>
      </x:c>
      <x:c r="J504" s="11" t="n">
        <x:f aca="0">SUM(F504*I504)</x:f>
        <x:v>0</x:v>
      </x:c>
      <x:c r="K504" s="11" t="n">
        <x:f aca="0">SUM(H504*J504)</x:f>
        <x:v>0</x:v>
      </x:c>
      <x:c r="L504" s="11"/>
      <x:c r="M504" s="11" t="n">
        <x:f aca="0">SUM(C504-2)</x:f>
        <x:v>-2</x:v>
      </x:c>
      <x:c r="N504" s="11" t="n">
        <x:f aca="0">SUM(B504-2)</x:f>
        <x:v>-2</x:v>
      </x:c>
      <x:c r="O504" s="11" t="n">
        <x:f aca="0">SUM(F504*1)</x:f>
        <x:v>0</x:v>
      </x:c>
      <x:c r="P504" s="11"/>
      <x:c r="Q504" s="11" t="str">
        <x:f aca="0">A504</x:f>
        <x:v>4E門板</x:v>
      </x:c>
      <x:c r="S504" s="1" t="n">
        <x:f aca="0">SUM(B504*2+C504*2)*F504</x:f>
        <x:v>0</x:v>
      </x:c>
      <x:c r="T504"/>
    </x:row>
    <x:row r="505" ht="22.200000762939453" hidden="0">
      <x:c r="A505" s="12" t="s">
        <x:v>64</x:v>
      </x:c>
      <x:c r="B505" s="10"/>
      <x:c r="C505" s="10"/>
      <x:c r="D505" s="10" t="n">
        <x:v>18</x:v>
      </x:c>
      <x:c r="E505" s="10"/>
      <x:c r="F505" s="10"/>
      <x:c r="G505" s="10"/>
      <x:c r="H505" s="10" t="n">
        <x:v>84</x:v>
      </x:c>
      <x:c r="I505" s="11" t="n">
        <x:f aca="0">ROUND((IF((B505*C505)/90000&lt;1,1))+IF((B505*C505)/90000&gt;=1,(B505*C505)/90000),1.1)</x:f>
        <x:v>1</x:v>
      </x:c>
      <x:c r="J505" s="11" t="n">
        <x:f aca="0">SUM(F505*I505)</x:f>
        <x:v>0</x:v>
      </x:c>
      <x:c r="K505" s="11" t="n">
        <x:f aca="0">SUM(H505*J505)</x:f>
        <x:v>0</x:v>
      </x:c>
      <x:c r="L505" s="11"/>
      <x:c r="M505" s="11" t="n">
        <x:f aca="0">SUM(C505-2)</x:f>
        <x:v>-2</x:v>
      </x:c>
      <x:c r="N505" s="11" t="n">
        <x:f aca="0">SUM(B505-2)</x:f>
        <x:v>-2</x:v>
      </x:c>
      <x:c r="O505" s="11" t="n">
        <x:f aca="0">SUM(F505*1)</x:f>
        <x:v>0</x:v>
      </x:c>
      <x:c r="P505" s="11"/>
      <x:c r="Q505" s="11" t="str">
        <x:f aca="0">A505</x:f>
        <x:v>4E門板</x:v>
      </x:c>
      <x:c r="S505" s="1" t="n">
        <x:f aca="0">SUM(B505*2+C505*2)*F505</x:f>
        <x:v>0</x:v>
      </x:c>
      <x:c r="T505"/>
    </x:row>
    <x:row r="506" ht="22.200000762939453" hidden="0">
      <x:c r="A506" s="10" t="s">
        <x:v>30</x:v>
      </x:c>
      <x:c r="B506" s="10"/>
      <x:c r="C506" s="10"/>
      <x:c r="D506" s="10" t="n">
        <x:v>18</x:v>
      </x:c>
      <x:c r="E506" s="10"/>
      <x:c r="F506" s="10"/>
      <x:c r="G506" s="10"/>
      <x:c r="H506" s="10" t="n">
        <x:v>84</x:v>
      </x:c>
      <x:c r="I506" s="11" t="n">
        <x:f aca="0">ROUND((IF((B506*C506)/90000&lt;1,1))+IF((B506*C506)/90000&gt;=1,(B506*C506)/90000),1.1)</x:f>
        <x:v>1</x:v>
      </x:c>
      <x:c r="J506" s="11" t="n">
        <x:f aca="0">SUM(F506*I506)</x:f>
        <x:v>0</x:v>
      </x:c>
      <x:c r="K506" s="11" t="n">
        <x:f aca="0">SUM(H506*J506)</x:f>
        <x:v>0</x:v>
      </x:c>
      <x:c r="L506" s="11"/>
      <x:c r="M506" s="11" t="n">
        <x:f aca="0">SUM(C506-2)</x:f>
        <x:v>-2</x:v>
      </x:c>
      <x:c r="N506" s="11" t="n">
        <x:f aca="0">SUM(B506-2)</x:f>
        <x:v>-2</x:v>
      </x:c>
      <x:c r="O506" s="11" t="n">
        <x:f aca="0">SUM(F506*1)</x:f>
        <x:v>0</x:v>
      </x:c>
      <x:c r="P506" s="11"/>
      <x:c r="Q506" s="11" t="str">
        <x:f aca="0">A506</x:f>
        <x:v>假門板</x:v>
      </x:c>
      <x:c r="S506" s="1" t="n">
        <x:f aca="0">SUM(B506*2+C506*2)*F506</x:f>
        <x:v>0</x:v>
      </x:c>
      <x:c r="T506"/>
    </x:row>
    <x:row r="507" ht="22.200000762939453" hidden="0">
      <x:c r="A507" s="10" t="s">
        <x:v>31</x:v>
      </x:c>
      <x:c r="B507" s="10"/>
      <x:c r="C507" s="10"/>
      <x:c r="D507" s="10" t="n">
        <x:v>18</x:v>
      </x:c>
      <x:c r="E507" s="10"/>
      <x:c r="F507" s="10"/>
      <x:c r="G507" s="10"/>
      <x:c r="H507" s="10" t="n">
        <x:v>84</x:v>
      </x:c>
      <x:c r="I507" s="11" t="n">
        <x:f aca="0">ROUND((IF((B507*C507)/90000&lt;1,1))+IF((B507*C507)/90000&gt;=1,(B507*C507)/90000),1.1)</x:f>
        <x:v>1</x:v>
      </x:c>
      <x:c r="J507" s="11" t="n">
        <x:f aca="0">SUM(F507*I507)</x:f>
        <x:v>0</x:v>
      </x:c>
      <x:c r="K507" s="11" t="n">
        <x:f aca="0">SUM(H507*J507)</x:f>
        <x:v>0</x:v>
      </x:c>
      <x:c r="L507" s="11"/>
      <x:c r="M507" s="11" t="n">
        <x:f aca="0">SUM(C507-2)</x:f>
        <x:v>-2</x:v>
      </x:c>
      <x:c r="N507" s="11" t="n">
        <x:f aca="0">SUM(B507-2)</x:f>
        <x:v>-2</x:v>
      </x:c>
      <x:c r="O507" s="11" t="n">
        <x:f aca="0">SUM(F507*1)</x:f>
        <x:v>0</x:v>
      </x:c>
      <x:c r="P507" s="11"/>
      <x:c r="Q507" s="11" t="str">
        <x:f aca="0">A507</x:f>
        <x:v>屜頭</x:v>
      </x:c>
      <x:c r="S507" s="1" t="n">
        <x:f aca="0">SUM(B507*2+C507*2)*F507</x:f>
        <x:v>0</x:v>
      </x:c>
      <x:c r="T507"/>
    </x:row>
    <x:row r="508" ht="22.200000762939453" hidden="0">
      <x:c r="A508" s="10" t="s">
        <x:v>32</x:v>
      </x:c>
      <x:c r="B508" s="10"/>
      <x:c r="C508" s="10"/>
      <x:c r="D508" s="10" t="n">
        <x:v>18</x:v>
      </x:c>
      <x:c r="E508" s="10"/>
      <x:c r="F508" s="10"/>
      <x:c r="G508" s="10"/>
      <x:c r="H508" s="10" t="n">
        <x:v>74</x:v>
      </x:c>
      <x:c r="I508" s="11" t="n">
        <x:f aca="0">ROUND((IF((B508*C508)/90000&lt;1,1))+IF((B508*C508)/90000&gt;=1,(B508*C508)/90000),1.1)</x:f>
        <x:v>1</x:v>
      </x:c>
      <x:c r="J508" s="11" t="n">
        <x:f aca="0">SUM(F508*I508)</x:f>
        <x:v>0</x:v>
      </x:c>
      <x:c r="K508" s="11" t="n">
        <x:f aca="0">SUM(H508*J508)</x:f>
        <x:v>0</x:v>
      </x:c>
      <x:c r="L508" s="11"/>
      <x:c r="M508" s="11" t="n">
        <x:f aca="0">SUM(C508-1)</x:f>
        <x:v>-1</x:v>
      </x:c>
      <x:c r="N508" s="11" t="n">
        <x:f aca="0">SUM(B508)</x:f>
        <x:v>0</x:v>
      </x:c>
      <x:c r="O508" s="11" t="n">
        <x:f aca="0">SUM(F508*1)</x:f>
        <x:v>0</x:v>
      </x:c>
      <x:c r="P508" s="11"/>
      <x:c r="Q508" s="11" t="str">
        <x:f aca="0">A508</x:f>
        <x:v>推門</x:v>
      </x:c>
      <x:c r="R508" s="1" t="n">
        <x:f aca="0">SUM(B508*2+C508*2)*F508</x:f>
        <x:v>0</x:v>
      </x:c>
      <x:c r="T508"/>
    </x:row>
    <x:row r="509" ht="22.200000762939453" hidden="0">
      <x:c r="A509" s="10" t="s">
        <x:v>33</x:v>
      </x:c>
      <x:c r="B509" s="10"/>
      <x:c r="C509" s="10"/>
      <x:c r="D509" s="10" t="n">
        <x:v>18</x:v>
      </x:c>
      <x:c r="E509" s="10"/>
      <x:c r="F509" s="10"/>
      <x:c r="G509" s="10"/>
      <x:c r="H509" s="10" t="n">
        <x:v>74</x:v>
      </x:c>
      <x:c r="I509" s="11" t="n">
        <x:f aca="0">ROUND((IF((B509*C509)/90000&lt;1,1))+IF((B509*C509)/90000&gt;=1,(B509*C509)/90000),1.1)</x:f>
        <x:v>1</x:v>
      </x:c>
      <x:c r="J509" s="11" t="n">
        <x:f aca="0">SUM(F509*I509)</x:f>
        <x:v>0</x:v>
      </x:c>
      <x:c r="K509" s="11" t="n">
        <x:f aca="0">SUM(H509*J509)</x:f>
        <x:v>0</x:v>
      </x:c>
      <x:c r="L509" s="11"/>
      <x:c r="M509" s="11" t="n">
        <x:f aca="0">SUM(C509)</x:f>
        <x:v>0</x:v>
      </x:c>
      <x:c r="N509" s="11" t="n">
        <x:f aca="0">SUM(B509-1)</x:f>
        <x:v>-1</x:v>
      </x:c>
      <x:c r="O509" s="11" t="n">
        <x:f aca="0">SUM(F509*1)</x:f>
        <x:v>0</x:v>
      </x:c>
      <x:c r="P509" s="11"/>
      <x:c r="Q509" s="11" t="str">
        <x:f aca="0">A509</x:f>
        <x:v>側封板</x:v>
      </x:c>
      <x:c r="R509" s="1" t="n">
        <x:f aca="0">SUM(+C509*1)*F509</x:f>
        <x:v>0</x:v>
      </x:c>
      <x:c r="S509" s="1" t="n">
        <x:f aca="0">SUM(C509*1)*F509</x:f>
        <x:v>0</x:v>
      </x:c>
      <x:c r="T509"/>
    </x:row>
    <x:row r="510" ht="22.200000762939453" hidden="0">
      <x:c r="A510" s="10" t="s">
        <x:v>33</x:v>
      </x:c>
      <x:c r="B510" s="10"/>
      <x:c r="C510" s="10"/>
      <x:c r="D510" s="10" t="n">
        <x:v>18</x:v>
      </x:c>
      <x:c r="E510" s="10"/>
      <x:c r="F510" s="10"/>
      <x:c r="G510" s="10"/>
      <x:c r="H510" s="10" t="n">
        <x:v>74</x:v>
      </x:c>
      <x:c r="I510" s="11" t="n">
        <x:f aca="0">ROUND((IF((B510*C510)/90000&lt;1,1))+IF((B510*C510)/90000&gt;=1,(B510*C510)/90000),1.1)</x:f>
        <x:v>1</x:v>
      </x:c>
      <x:c r="J510" s="11" t="n">
        <x:f aca="0">SUM(F510*I510)</x:f>
        <x:v>0</x:v>
      </x:c>
      <x:c r="K510" s="11" t="n">
        <x:f aca="0">SUM(H510*J510)</x:f>
        <x:v>0</x:v>
      </x:c>
      <x:c r="L510" s="11"/>
      <x:c r="M510" s="11" t="n">
        <x:f aca="0">SUM(C510)</x:f>
        <x:v>0</x:v>
      </x:c>
      <x:c r="N510" s="11" t="n">
        <x:f aca="0">SUM(B510-1)</x:f>
        <x:v>-1</x:v>
      </x:c>
      <x:c r="O510" s="11" t="n">
        <x:f aca="0">SUM(F510*1)</x:f>
        <x:v>0</x:v>
      </x:c>
      <x:c r="P510" s="11"/>
      <x:c r="Q510" s="11" t="str">
        <x:f aca="0">A510</x:f>
        <x:v>側封板</x:v>
      </x:c>
      <x:c r="R510" s="1" t="n">
        <x:f aca="0">SUM(+C510*1)*F510</x:f>
        <x:v>0</x:v>
      </x:c>
      <x:c r="S510" s="1" t="n">
        <x:f aca="0">SUM(C510*1)*F510</x:f>
        <x:v>0</x:v>
      </x:c>
      <x:c r="T510"/>
    </x:row>
    <x:row r="511" ht="22.200000762939453" hidden="0">
      <x:c r="A511" s="10" t="s">
        <x:v>34</x:v>
      </x:c>
      <x:c r="B511" s="10"/>
      <x:c r="C511" s="10"/>
      <x:c r="D511" s="10" t="n">
        <x:v>18</x:v>
      </x:c>
      <x:c r="E511" s="10"/>
      <x:c r="F511" s="10"/>
      <x:c r="G511" s="10"/>
      <x:c r="H511" s="10" t="n">
        <x:v>74</x:v>
      </x:c>
      <x:c r="I511" s="11" t="n">
        <x:f aca="0">ROUND((IF((B511*C511)/90000&lt;1,1))+IF((B511*C511)/90000&gt;=1,(B511*C511)/90000),1.1)</x:f>
        <x:v>1</x:v>
      </x:c>
      <x:c r="J511" s="11" t="n">
        <x:f aca="0">SUM(F511*I511)</x:f>
        <x:v>0</x:v>
      </x:c>
      <x:c r="K511" s="11" t="n">
        <x:f aca="0">SUM(H511*J511)</x:f>
        <x:v>0</x:v>
      </x:c>
      <x:c r="L511" s="11"/>
      <x:c r="M511" s="11" t="n">
        <x:f aca="0">SUM(C511)</x:f>
        <x:v>0</x:v>
      </x:c>
      <x:c r="N511" s="11" t="n">
        <x:f aca="0">SUM(B511-1)</x:f>
        <x:v>-1</x:v>
      </x:c>
      <x:c r="O511" s="11" t="n">
        <x:f aca="0">SUM(F511*1)</x:f>
        <x:v>0</x:v>
      </x:c>
      <x:c r="P511" s="11"/>
      <x:c r="Q511" s="11" t="str">
        <x:f aca="0">A511</x:f>
        <x:v>軌道板</x:v>
      </x:c>
      <x:c r="R511" s="1" t="n">
        <x:f aca="0">SUM(+C511*1)*F511</x:f>
        <x:v>0</x:v>
      </x:c>
      <x:c r="S511" s="1" t="n">
        <x:f aca="0">SUM(C511*1)*F511</x:f>
        <x:v>0</x:v>
      </x:c>
      <x:c r="T511"/>
    </x:row>
    <x:row r="512" ht="22.200000762939453" hidden="0">
      <x:c r="A512" s="10" t="s">
        <x:v>34</x:v>
      </x:c>
      <x:c r="B512" s="10"/>
      <x:c r="C512" s="10"/>
      <x:c r="D512" s="10" t="n">
        <x:v>18</x:v>
      </x:c>
      <x:c r="E512" s="10"/>
      <x:c r="F512" s="10"/>
      <x:c r="G512" s="10"/>
      <x:c r="H512" s="10" t="n">
        <x:v>74</x:v>
      </x:c>
      <x:c r="I512" s="11" t="n">
        <x:f aca="0">ROUND((IF((B512*C512)/90000&lt;1,1))+IF((B512*C512)/90000&gt;=1,(B512*C512)/90000),1.1)</x:f>
        <x:v>1</x:v>
      </x:c>
      <x:c r="J512" s="11" t="n">
        <x:f aca="0">SUM(F512*I512)</x:f>
        <x:v>0</x:v>
      </x:c>
      <x:c r="K512" s="11" t="n">
        <x:f aca="0">SUM(H512*J512)</x:f>
        <x:v>0</x:v>
      </x:c>
      <x:c r="L512" s="11"/>
      <x:c r="M512" s="11" t="n">
        <x:f aca="0">SUM(C512)</x:f>
        <x:v>0</x:v>
      </x:c>
      <x:c r="N512" s="11" t="n">
        <x:f aca="0">SUM(B512-1)</x:f>
        <x:v>-1</x:v>
      </x:c>
      <x:c r="O512" s="11" t="n">
        <x:f aca="0">SUM(F512*1)</x:f>
        <x:v>0</x:v>
      </x:c>
      <x:c r="P512" s="11"/>
      <x:c r="Q512" s="11" t="str">
        <x:f aca="0">A512</x:f>
        <x:v>軌道板</x:v>
      </x:c>
      <x:c r="R512" s="1" t="n">
        <x:f aca="0">SUM(+C512*1)*F512</x:f>
        <x:v>0</x:v>
      </x:c>
      <x:c r="S512" s="1" t="n">
        <x:f aca="0">SUM(C512*1)*F512</x:f>
        <x:v>0</x:v>
      </x:c>
      <x:c r="T512"/>
    </x:row>
    <x:row r="513" ht="22.200000762939453" hidden="0">
      <x:c r="A513" s="10" t="s">
        <x:v>35</x:v>
      </x:c>
      <x:c r="B513" s="10"/>
      <x:c r="C513" s="10"/>
      <x:c r="D513" s="10" t="n">
        <x:v>18</x:v>
      </x:c>
      <x:c r="E513" s="10"/>
      <x:c r="F513" s="10"/>
      <x:c r="G513" s="10"/>
      <x:c r="H513" s="10" t="n">
        <x:v>69</x:v>
      </x:c>
      <x:c r="I513" s="11" t="n">
        <x:f aca="0">ROUND((IF((B513*C513)/90000&lt;1,1))+IF((B513*C513)/90000&gt;=1,(B513*C513)/90000),1.1)</x:f>
        <x:v>1</x:v>
      </x:c>
      <x:c r="J513" s="11" t="n">
        <x:f aca="0">SUM(F513*I513)</x:f>
        <x:v>0</x:v>
      </x:c>
      <x:c r="K513" s="11" t="n">
        <x:f aca="0">SUM(H513*J513)</x:f>
        <x:v>0</x:v>
      </x:c>
      <x:c r="L513" s="11"/>
      <x:c r="M513" s="11" t="n">
        <x:f aca="0">SUM(C513)</x:f>
        <x:v>0</x:v>
      </x:c>
      <x:c r="N513" s="11" t="n">
        <x:f aca="0">SUM(B513-1)</x:f>
        <x:v>-1</x:v>
      </x:c>
      <x:c r="O513" s="11" t="n">
        <x:f aca="0">SUM(F513*1)</x:f>
        <x:v>0</x:v>
      </x:c>
      <x:c r="P513" s="11"/>
      <x:c r="Q513" s="11" t="str">
        <x:f aca="0">A513</x:f>
        <x:v>擋板</x:v>
      </x:c>
      <x:c r="R513" s="1" t="n">
        <x:f aca="0">SUM(C513*2)*F513</x:f>
        <x:v>0</x:v>
      </x:c>
      <x:c r="T513"/>
    </x:row>
    <x:row r="514" ht="22.200000762939453" hidden="0">
      <x:c r="A514" s="10" t="s">
        <x:v>35</x:v>
      </x:c>
      <x:c r="B514" s="10"/>
      <x:c r="C514" s="10"/>
      <x:c r="D514" s="10" t="n">
        <x:v>18</x:v>
      </x:c>
      <x:c r="E514" s="10"/>
      <x:c r="F514" s="10"/>
      <x:c r="G514" s="10"/>
      <x:c r="H514" s="10" t="n">
        <x:v>69</x:v>
      </x:c>
      <x:c r="I514" s="11" t="n">
        <x:f aca="0">ROUND((IF((B514*C514)/90000&lt;1,1))+IF((B514*C514)/90000&gt;=1,(B514*C514)/90000),1.1)</x:f>
        <x:v>1</x:v>
      </x:c>
      <x:c r="J514" s="11" t="n">
        <x:f aca="0">SUM(F514*I514)</x:f>
        <x:v>0</x:v>
      </x:c>
      <x:c r="K514" s="11" t="n">
        <x:f aca="0">SUM(H514*J514)</x:f>
        <x:v>0</x:v>
      </x:c>
      <x:c r="L514" s="11"/>
      <x:c r="M514" s="11" t="n">
        <x:f aca="0">SUM(C514)</x:f>
        <x:v>0</x:v>
      </x:c>
      <x:c r="N514" s="11" t="n">
        <x:f aca="0">SUM(B514-1)</x:f>
        <x:v>-1</x:v>
      </x:c>
      <x:c r="O514" s="11" t="n">
        <x:f aca="0">SUM(F514*1)</x:f>
        <x:v>0</x:v>
      </x:c>
      <x:c r="P514" s="11"/>
      <x:c r="Q514" s="11" t="str">
        <x:f aca="0">A514</x:f>
        <x:v>擋板</x:v>
      </x:c>
      <x:c r="R514" s="1" t="n">
        <x:f aca="0">SUM(C514*2)*F514</x:f>
        <x:v>0</x:v>
      </x:c>
      <x:c r="T514"/>
    </x:row>
    <x:row r="515" ht="22.200000762939453" hidden="0">
      <x:c r="A515" s="10" t="s">
        <x:v>36</x:v>
      </x:c>
      <x:c r="B515" s="10"/>
      <x:c r="C515" s="10"/>
      <x:c r="D515" s="10" t="n">
        <x:v>8</x:v>
      </x:c>
      <x:c r="E515" s="10"/>
      <x:c r="F515" s="10"/>
      <x:c r="G515" s="10"/>
      <x:c r="H515" s="10" t="n">
        <x:v>69</x:v>
      </x:c>
      <x:c r="I515" s="11" t="n">
        <x:f aca="0">ROUND((IF((B515*C515)/90000&lt;1,1))+IF((B515*C515)/90000&gt;=1,(B515*C515)/90000),1.1)</x:f>
        <x:v>1</x:v>
      </x:c>
      <x:c r="J515" s="11" t="n">
        <x:f aca="0">SUM(F515*I515)</x:f>
        <x:v>0</x:v>
      </x:c>
      <x:c r="K515" s="11" t="n">
        <x:f aca="0">SUM(H515*J515)</x:f>
        <x:v>0</x:v>
      </x:c>
      <x:c r="L515" s="11"/>
      <x:c r="M515" s="11" t="n">
        <x:f aca="0">SUM(C515)</x:f>
        <x:v>0</x:v>
      </x:c>
      <x:c r="N515" s="11" t="n">
        <x:f aca="0">SUM(B515-1)</x:f>
        <x:v>-1</x:v>
      </x:c>
      <x:c r="O515" s="11" t="n">
        <x:f aca="0">SUM(F515*1)</x:f>
        <x:v>0</x:v>
      </x:c>
      <x:c r="P515" s="11"/>
      <x:c r="Q515" s="11" t="str">
        <x:f aca="0">A515</x:f>
        <x:v>襯板</x:v>
      </x:c>
      <x:c r="R515" s="1" t="n">
        <x:f aca="0">SUM(C515*2)*F515</x:f>
        <x:v>0</x:v>
      </x:c>
      <x:c r="T515"/>
    </x:row>
    <x:row r="516" ht="22.200000762939453" hidden="0">
      <x:c r="A516" s="10" t="s">
        <x:v>36</x:v>
      </x:c>
      <x:c r="B516" s="10"/>
      <x:c r="C516" s="10"/>
      <x:c r="D516" s="10" t="n">
        <x:v>8</x:v>
      </x:c>
      <x:c r="E516" s="10"/>
      <x:c r="F516" s="10"/>
      <x:c r="G516" s="10"/>
      <x:c r="H516" s="10" t="n">
        <x:v>69</x:v>
      </x:c>
      <x:c r="I516" s="11" t="n">
        <x:f aca="0">ROUND((IF((B516*C516)/90000&lt;1,1))+IF((B516*C516)/90000&gt;=1,(B516*C516)/90000),1.1)</x:f>
        <x:v>1</x:v>
      </x:c>
      <x:c r="J516" s="11" t="n">
        <x:f aca="0">SUM(F516*I516)</x:f>
        <x:v>0</x:v>
      </x:c>
      <x:c r="K516" s="11" t="n">
        <x:f aca="0">SUM(H516*J516)</x:f>
        <x:v>0</x:v>
      </x:c>
      <x:c r="L516" s="11"/>
      <x:c r="M516" s="11" t="n">
        <x:f aca="0">SUM(C516)</x:f>
        <x:v>0</x:v>
      </x:c>
      <x:c r="N516" s="11" t="n">
        <x:f aca="0">SUM(B516-1)</x:f>
        <x:v>-1</x:v>
      </x:c>
      <x:c r="O516" s="11" t="n">
        <x:f aca="0">SUM(F516*1)</x:f>
        <x:v>0</x:v>
      </x:c>
      <x:c r="P516" s="11"/>
      <x:c r="Q516" s="11" t="str">
        <x:f aca="0">A516</x:f>
        <x:v>襯板</x:v>
      </x:c>
      <x:c r="R516" s="1" t="n">
        <x:f aca="0">SUM(C516*2)*F516</x:f>
        <x:v>0</x:v>
      </x:c>
      <x:c r="T516"/>
    </x:row>
    <x:row r="517" ht="22.200000762939453" hidden="0">
      <x:c r="A517" s="10" t="s">
        <x:v>37</x:v>
      </x:c>
      <x:c r="B517" s="10"/>
      <x:c r="C517" s="10"/>
      <x:c r="D517" s="10" t="n">
        <x:v>8</x:v>
      </x:c>
      <x:c r="E517" s="10"/>
      <x:c r="F517" s="10"/>
      <x:c r="G517" s="10"/>
      <x:c r="H517" s="10" t="n">
        <x:v>50</x:v>
      </x:c>
      <x:c r="I517" s="11" t="n">
        <x:f aca="0">ROUND((IF((B517*C517)/90000&lt;1,1))+IF((B517*C517)/90000&gt;=1,(B517*C517)/90000),1.1)</x:f>
        <x:v>1</x:v>
      </x:c>
      <x:c r="J517" s="11" t="n">
        <x:f aca="0">SUM(F517*I517)</x:f>
        <x:v>0</x:v>
      </x:c>
      <x:c r="K517" s="11" t="n">
        <x:f aca="0">SUM(H517*J517)</x:f>
        <x:v>0</x:v>
      </x:c>
      <x:c r="L517" s="11"/>
      <x:c r="M517" s="11" t="n">
        <x:f aca="0">SUM(C517)</x:f>
        <x:v>0</x:v>
      </x:c>
      <x:c r="N517" s="11" t="n">
        <x:f aca="0">SUM(B517)</x:f>
        <x:v>0</x:v>
      </x:c>
      <x:c r="O517" s="11" t="n">
        <x:f aca="0">SUM(F517*1)</x:f>
        <x:v>0</x:v>
      </x:c>
      <x:c r="P517" s="11"/>
      <x:c r="Q517" s="11" t="str">
        <x:f aca="0">A517</x:f>
        <x:v>背板</x:v>
      </x:c>
      <x:c r="T517"/>
    </x:row>
    <x:row r="518" ht="22.200000762939453" hidden="0">
      <x:c r="A518" s="10" t="s">
        <x:v>37</x:v>
      </x:c>
      <x:c r="B518" s="10"/>
      <x:c r="C518" s="10"/>
      <x:c r="D518" s="10" t="n">
        <x:v>8</x:v>
      </x:c>
      <x:c r="E518" s="10"/>
      <x:c r="F518" s="10"/>
      <x:c r="G518" s="10"/>
      <x:c r="H518" s="10" t="n">
        <x:v>50</x:v>
      </x:c>
      <x:c r="I518" s="11" t="n">
        <x:f aca="0">ROUND((IF((B518*C518)/90000&lt;1,1))+IF((B518*C518)/90000&gt;=1,(B518*C518)/90000),1.1)</x:f>
        <x:v>1</x:v>
      </x:c>
      <x:c r="J518" s="11" t="n">
        <x:f aca="0">SUM(F518*I518)</x:f>
        <x:v>0</x:v>
      </x:c>
      <x:c r="K518" s="11" t="n">
        <x:f aca="0">SUM(H518*J518)</x:f>
        <x:v>0</x:v>
      </x:c>
      <x:c r="L518" s="11"/>
      <x:c r="M518" s="11" t="n">
        <x:f aca="0">SUM(C518)</x:f>
        <x:v>0</x:v>
      </x:c>
      <x:c r="N518" s="11" t="n">
        <x:f aca="0">SUM(B518)</x:f>
        <x:v>0</x:v>
      </x:c>
      <x:c r="O518" s="11" t="n">
        <x:f aca="0">SUM(F518*1)</x:f>
        <x:v>0</x:v>
      </x:c>
      <x:c r="P518" s="11"/>
      <x:c r="Q518" s="11" t="str">
        <x:f aca="0">A518</x:f>
        <x:v>背板</x:v>
      </x:c>
      <x:c r="T518"/>
    </x:row>
    <x:row r="519" ht="22.200000762939453" hidden="0">
      <x:c r="A519" s="10" t="s">
        <x:v>37</x:v>
      </x:c>
      <x:c r="B519" s="10"/>
      <x:c r="C519" s="10"/>
      <x:c r="D519" s="10" t="n">
        <x:v>8</x:v>
      </x:c>
      <x:c r="E519" s="10"/>
      <x:c r="F519" s="10"/>
      <x:c r="G519" s="10"/>
      <x:c r="H519" s="10" t="n">
        <x:v>50</x:v>
      </x:c>
      <x:c r="I519" s="11" t="n">
        <x:f aca="0">ROUND((IF((B519*C519)/90000&lt;1,1))+IF((B519*C519)/90000&gt;=1,(B519*C519)/90000),1.1)</x:f>
        <x:v>1</x:v>
      </x:c>
      <x:c r="J519" s="11" t="n">
        <x:f aca="0">SUM(F519*I519)</x:f>
        <x:v>0</x:v>
      </x:c>
      <x:c r="K519" s="11" t="n">
        <x:f aca="0">SUM(H519*J519)</x:f>
        <x:v>0</x:v>
      </x:c>
      <x:c r="L519" s="11"/>
      <x:c r="M519" s="11" t="n">
        <x:f aca="0">SUM(C519)</x:f>
        <x:v>0</x:v>
      </x:c>
      <x:c r="N519" s="11" t="n">
        <x:f aca="0">SUM(B519)</x:f>
        <x:v>0</x:v>
      </x:c>
      <x:c r="O519" s="11" t="n">
        <x:f aca="0">SUM(F519*1)</x:f>
        <x:v>0</x:v>
      </x:c>
      <x:c r="P519" s="11"/>
      <x:c r="Q519" s="11" t="str">
        <x:f aca="0">A519</x:f>
        <x:v>背板</x:v>
      </x:c>
      <x:c r="T519"/>
    </x:row>
    <x:row r="520" ht="22.200000762939453" hidden="0">
      <x:c r="A520" s="10" t="s">
        <x:v>37</x:v>
      </x:c>
      <x:c r="B520" s="10"/>
      <x:c r="C520" s="10"/>
      <x:c r="D520" s="10" t="n">
        <x:v>8</x:v>
      </x:c>
      <x:c r="E520" s="10"/>
      <x:c r="F520" s="10"/>
      <x:c r="G520" s="10"/>
      <x:c r="H520" s="10" t="n">
        <x:v>50</x:v>
      </x:c>
      <x:c r="I520" s="11" t="n">
        <x:f aca="0">ROUND((IF((B520*C520)/90000&lt;1,1))+IF((B520*C520)/90000&gt;=1,(B520*C520)/90000),1.1)</x:f>
        <x:v>1</x:v>
      </x:c>
      <x:c r="J520" s="11" t="n">
        <x:f aca="0">SUM(F520*I520)</x:f>
        <x:v>0</x:v>
      </x:c>
      <x:c r="K520" s="11" t="n">
        <x:f aca="0">SUM(H520*J520)</x:f>
        <x:v>0</x:v>
      </x:c>
      <x:c r="L520" s="11"/>
      <x:c r="M520" s="11" t="n">
        <x:f aca="0">SUM(C520)</x:f>
        <x:v>0</x:v>
      </x:c>
      <x:c r="N520" s="11" t="n">
        <x:f aca="0">SUM(B520)</x:f>
        <x:v>0</x:v>
      </x:c>
      <x:c r="O520" s="11" t="n">
        <x:f aca="0">SUM(F520*1)</x:f>
        <x:v>0</x:v>
      </x:c>
      <x:c r="P520" s="11"/>
      <x:c r="Q520" s="11" t="str">
        <x:f aca="0">A520</x:f>
        <x:v>背板</x:v>
      </x:c>
      <x:c r="T520"/>
    </x:row>
    <x:row r="521" ht="22.200000762939453" hidden="0">
      <x:c r="A521" s="10" t="s">
        <x:v>37</x:v>
      </x:c>
      <x:c r="B521" s="10"/>
      <x:c r="C521" s="10"/>
      <x:c r="D521" s="10" t="n">
        <x:v>8</x:v>
      </x:c>
      <x:c r="E521" s="10"/>
      <x:c r="F521" s="10"/>
      <x:c r="G521" s="10"/>
      <x:c r="H521" s="10" t="n">
        <x:v>50</x:v>
      </x:c>
      <x:c r="I521" s="11" t="n">
        <x:f aca="0">ROUND((IF((B521*C521)/90000&lt;1,1))+IF((B521*C521)/90000&gt;=1,(B521*C521)/90000),1.1)</x:f>
        <x:v>1</x:v>
      </x:c>
      <x:c r="J521" s="11" t="n">
        <x:f aca="0">SUM(F521*I521)</x:f>
        <x:v>0</x:v>
      </x:c>
      <x:c r="K521" s="11" t="n">
        <x:f aca="0">SUM(H521*J521)</x:f>
        <x:v>0</x:v>
      </x:c>
      <x:c r="L521" s="11"/>
      <x:c r="M521" s="11" t="n">
        <x:f aca="0">SUM(C521)</x:f>
        <x:v>0</x:v>
      </x:c>
      <x:c r="N521" s="11" t="n">
        <x:f aca="0">SUM(B521)</x:f>
        <x:v>0</x:v>
      </x:c>
      <x:c r="O521" s="11" t="n">
        <x:f aca="0">SUM(F521*1)</x:f>
        <x:v>0</x:v>
      </x:c>
      <x:c r="P521" s="11"/>
      <x:c r="Q521" s="11" t="str">
        <x:f aca="0">A521</x:f>
        <x:v>背板</x:v>
      </x:c>
      <x:c r="T521"/>
    </x:row>
    <x:row r="522" ht="22.200000762939453" hidden="0">
      <x:c r="A522" s="10" t="s">
        <x:v>38</x:v>
      </x:c>
      <x:c r="B522" s="10"/>
      <x:c r="C522" s="10"/>
      <x:c r="D522" s="10" t="n">
        <x:v>18</x:v>
      </x:c>
      <x:c r="E522" s="10"/>
      <x:c r="F522" s="10"/>
      <x:c r="G522" s="10"/>
      <x:c r="H522" s="10" t="n">
        <x:v>50</x:v>
      </x:c>
      <x:c r="I522" s="11" t="n">
        <x:f aca="0">ROUND((IF((B522*C522)/90000&lt;1,1))+IF((B522*C522)/90000&gt;=1,(B522*C522)/90000),1.1)</x:f>
        <x:v>1</x:v>
      </x:c>
      <x:c r="J522" s="11" t="n">
        <x:f aca="0">SUM(F522*I522)</x:f>
        <x:v>0</x:v>
      </x:c>
      <x:c r="K522" s="11" t="n">
        <x:f aca="0">SUM(H522*J522)</x:f>
        <x:v>0</x:v>
      </x:c>
      <x:c r="L522" s="11"/>
      <x:c r="M522" s="11" t="n">
        <x:f aca="0">SUM(C522)</x:f>
        <x:v>0</x:v>
      </x:c>
      <x:c r="N522" s="11" t="n">
        <x:f aca="0">SUM(B522)</x:f>
        <x:v>0</x:v>
      </x:c>
      <x:c r="O522" s="11" t="n">
        <x:f aca="0">SUM(F522*1)</x:f>
        <x:v>0</x:v>
      </x:c>
      <x:c r="P522" s="11"/>
      <x:c r="Q522" s="11" t="str">
        <x:f aca="0">A522</x:f>
        <x:v>踢腳板</x:v>
      </x:c>
      <x:c r="R522" s="1" t="n">
        <x:f aca="0">SUM(C522*1)*F522</x:f>
        <x:v>0</x:v>
      </x:c>
      <x:c r="T522"/>
    </x:row>
    <x:row r="523" ht="22.200000762939453" hidden="0">
      <x:c r="A523" s="10" t="s">
        <x:v>39</x:v>
      </x:c>
      <x:c r="B523" s="10"/>
      <x:c r="C523" s="10"/>
      <x:c r="D523" s="10" t="n">
        <x:v>25</x:v>
      </x:c>
      <x:c r="E523" s="10"/>
      <x:c r="F523" s="10"/>
      <x:c r="G523" s="10"/>
      <x:c r="H523" s="10" t="n">
        <x:v>126</x:v>
      </x:c>
      <x:c r="I523" s="11" t="n">
        <x:f aca="0">ROUND((IF((B523*C523)/90000&lt;1,1))+IF((B523*C523)/90000&gt;=1,(B523*C523)/90000),1.1)</x:f>
        <x:v>1</x:v>
      </x:c>
      <x:c r="J523" s="11" t="n">
        <x:f aca="0">SUM(F523*I523)</x:f>
        <x:v>0</x:v>
      </x:c>
      <x:c r="K523" s="11" t="n">
        <x:f aca="0">SUM(H523*J523)</x:f>
        <x:v>0</x:v>
      </x:c>
      <x:c r="L523" s="11"/>
      <x:c r="M523" s="11" t="n">
        <x:f aca="0">SUM(C523)</x:f>
        <x:v>0</x:v>
      </x:c>
      <x:c r="N523" s="11" t="n">
        <x:f aca="0">SUM(B523-1)</x:f>
        <x:v>-1</x:v>
      </x:c>
      <x:c r="O523" s="11" t="n">
        <x:f aca="0">SUM(F523*1)</x:f>
        <x:v>0</x:v>
      </x:c>
      <x:c r="P523" s="11"/>
      <x:c r="Q523" s="11" t="str">
        <x:f aca="0">A523</x:f>
        <x:v>檯面</x:v>
      </x:c>
      <x:c r="S523" s="1" t="n">
        <x:f aca="0">SUM(B523*2+C523*1)*F523</x:f>
        <x:v>0</x:v>
      </x:c>
      <x:c r="T523"/>
    </x:row>
    <x:row r="524" ht="22.200000762939453" hidden="0">
      <x:c r="A524" s="10" t="s">
        <x:v>40</x:v>
      </x:c>
      <x:c r="B524" s="10"/>
      <x:c r="C524" s="10"/>
      <x:c r="D524" s="10" t="n">
        <x:v>18</x:v>
      </x:c>
      <x:c r="E524" s="10"/>
      <x:c r="F524" s="10"/>
      <x:c r="G524" s="10"/>
      <x:c r="H524" s="10" t="n">
        <x:v>65</x:v>
      </x:c>
      <x:c r="I524" s="11" t="n">
        <x:f aca="0">ROUND((IF((B524*C524)/90000&lt;1,1))+IF((B524*C524)/90000&gt;=1,(B524*C524)/90000),1.1)</x:f>
        <x:v>1</x:v>
      </x:c>
      <x:c r="J524" s="11" t="n">
        <x:f aca="0">SUM(F524*I524)</x:f>
        <x:v>0</x:v>
      </x:c>
      <x:c r="K524" s="11" t="n">
        <x:f aca="0">SUM(H524*J524)</x:f>
        <x:v>0</x:v>
      </x:c>
      <x:c r="L524" s="11"/>
      <x:c r="M524" s="11" t="n">
        <x:f aca="0">SUM(C524)</x:f>
        <x:v>0</x:v>
      </x:c>
      <x:c r="N524" s="11" t="n">
        <x:f aca="0">SUM(B524)</x:f>
        <x:v>0</x:v>
      </x:c>
      <x:c r="O524" s="11" t="n">
        <x:f aca="0">SUM(F524*1)</x:f>
        <x:v>0</x:v>
      </x:c>
      <x:c r="P524" s="11"/>
      <x:c r="Q524" s="11" t="str">
        <x:f aca="0">A524</x:f>
        <x:v>背條</x:v>
      </x:c>
      <x:c r="T524"/>
    </x:row>
    <x:row r="525" ht="22.200000762939453" hidden="0">
      <x:c r="A525" s="10" t="s">
        <x:v>40</x:v>
      </x:c>
      <x:c r="B525" s="10"/>
      <x:c r="C525" s="10"/>
      <x:c r="D525" s="10" t="n">
        <x:v>18</x:v>
      </x:c>
      <x:c r="E525" s="10"/>
      <x:c r="F525" s="10"/>
      <x:c r="G525" s="10"/>
      <x:c r="H525" s="10" t="n">
        <x:v>65</x:v>
      </x:c>
      <x:c r="I525" s="11" t="n">
        <x:f aca="0">ROUND((IF((B525*C525)/90000&lt;1,1))+IF((B525*C525)/90000&gt;=1,(B525*C525)/90000),1.1)</x:f>
        <x:v>1</x:v>
      </x:c>
      <x:c r="J525" s="11" t="n">
        <x:f aca="0">SUM(F525*I525)</x:f>
        <x:v>0</x:v>
      </x:c>
      <x:c r="K525" s="11" t="n">
        <x:f aca="0">SUM(H525*J525)</x:f>
        <x:v>0</x:v>
      </x:c>
      <x:c r="L525" s="11"/>
      <x:c r="M525" s="11" t="n">
        <x:f aca="0">SUM(C525)</x:f>
        <x:v>0</x:v>
      </x:c>
      <x:c r="N525" s="11" t="n">
        <x:f aca="0">SUM(B525)</x:f>
        <x:v>0</x:v>
      </x:c>
      <x:c r="O525" s="11" t="n">
        <x:f aca="0">SUM(F525*1)</x:f>
        <x:v>0</x:v>
      </x:c>
      <x:c r="P525" s="11"/>
      <x:c r="Q525" s="11" t="str">
        <x:f aca="0">A525</x:f>
        <x:v>背條</x:v>
      </x:c>
      <x:c r="T525"/>
    </x:row>
    <x:row r="526" ht="22.200000762939453" hidden="0">
      <x:c r="A526" s="10" t="s">
        <x:v>40</x:v>
      </x:c>
      <x:c r="B526" s="10"/>
      <x:c r="C526" s="10"/>
      <x:c r="D526" s="10" t="n">
        <x:v>18</x:v>
      </x:c>
      <x:c r="E526" s="10"/>
      <x:c r="F526" s="10"/>
      <x:c r="G526" s="10"/>
      <x:c r="H526" s="10" t="n">
        <x:v>65</x:v>
      </x:c>
      <x:c r="I526" s="11" t="n">
        <x:f aca="0">ROUND((IF((B526*C526)/90000&lt;1,1))+IF((B526*C526)/90000&gt;=1,(B526*C526)/90000),1.1)</x:f>
        <x:v>1</x:v>
      </x:c>
      <x:c r="J526" s="11" t="n">
        <x:f aca="0">SUM(F526*I526)</x:f>
        <x:v>0</x:v>
      </x:c>
      <x:c r="K526" s="11" t="n">
        <x:f aca="0">SUM(H526*J526)</x:f>
        <x:v>0</x:v>
      </x:c>
      <x:c r="L526" s="11"/>
      <x:c r="M526" s="11" t="n">
        <x:f aca="0">SUM(C526)</x:f>
        <x:v>0</x:v>
      </x:c>
      <x:c r="N526" s="11" t="n">
        <x:f aca="0">SUM(B526)</x:f>
        <x:v>0</x:v>
      </x:c>
      <x:c r="O526" s="11" t="n">
        <x:f aca="0">SUM(F526*1)</x:f>
        <x:v>0</x:v>
      </x:c>
      <x:c r="P526" s="11"/>
      <x:c r="Q526" s="11" t="str">
        <x:f aca="0">A526</x:f>
        <x:v>背條</x:v>
      </x:c>
      <x:c r="T526"/>
    </x:row>
    <x:row r="527" ht="22.200000762939453" hidden="0">
      <x:c r="A527" s="10" t="s">
        <x:v>40</x:v>
      </x:c>
      <x:c r="B527" s="10"/>
      <x:c r="C527" s="10"/>
      <x:c r="D527" s="10" t="n">
        <x:v>18</x:v>
      </x:c>
      <x:c r="E527" s="10"/>
      <x:c r="F527" s="10"/>
      <x:c r="G527" s="10"/>
      <x:c r="H527" s="10" t="n">
        <x:v>65</x:v>
      </x:c>
      <x:c r="I527" s="11" t="n">
        <x:f aca="0">ROUND((IF((B527*C527)/90000&lt;1,1))+IF((B527*C527)/90000&gt;=1,(B527*C527)/90000),1.1)</x:f>
        <x:v>1</x:v>
      </x:c>
      <x:c r="J527" s="11" t="n">
        <x:f aca="0">SUM(F527*I527)</x:f>
        <x:v>0</x:v>
      </x:c>
      <x:c r="K527" s="11" t="n">
        <x:f aca="0">SUM(H527*J527)</x:f>
        <x:v>0</x:v>
      </x:c>
      <x:c r="L527" s="11"/>
      <x:c r="M527" s="11" t="n">
        <x:f aca="0">SUM(C527)</x:f>
        <x:v>0</x:v>
      </x:c>
      <x:c r="N527" s="11" t="n">
        <x:f aca="0">SUM(B527)</x:f>
        <x:v>0</x:v>
      </x:c>
      <x:c r="O527" s="11" t="n">
        <x:f aca="0">SUM(F527*1)</x:f>
        <x:v>0</x:v>
      </x:c>
      <x:c r="P527" s="11"/>
      <x:c r="Q527" s="11" t="str">
        <x:f aca="0">A527</x:f>
        <x:v>背條</x:v>
      </x:c>
      <x:c r="T527"/>
    </x:row>
    <x:row r="528" ht="22.200000762939453" hidden="0">
      <x:c r="A528" s="12" t="s">
        <x:v>41</x:v>
      </x:c>
      <x:c r="B528" s="10"/>
      <x:c r="C528" s="10"/>
      <x:c r="D528" s="10"/>
      <x:c r="E528" s="10"/>
      <x:c r="F528" s="10"/>
      <x:c r="G528" s="10"/>
      <x:c r="H528" s="10" t="n">
        <x:v>11</x:v>
      </x:c>
      <x:c r="I528" s="11"/>
      <x:c r="J528" s="11"/>
      <x:c r="K528" s="11" t="n">
        <x:f aca="0">SUM(F528*H528)</x:f>
        <x:v>0</x:v>
      </x:c>
      <x:c r="L528" s="11"/>
      <x:c r="M528" s="11"/>
      <x:c r="N528" s="11"/>
      <x:c r="O528" s="11"/>
      <x:c r="P528" s="11"/>
      <x:c r="Q528" s="11"/>
      <x:c r="T528"/>
    </x:row>
    <x:row r="529" ht="22.200000762939453" hidden="0">
      <x:c r="A529" s="12" t="s">
        <x:v>42</x:v>
      </x:c>
      <x:c r="B529" s="10"/>
      <x:c r="C529" s="10"/>
      <x:c r="D529" s="10"/>
      <x:c r="E529" s="10"/>
      <x:c r="F529" s="10"/>
      <x:c r="G529" s="10"/>
      <x:c r="H529" s="10" t="n">
        <x:v>9</x:v>
      </x:c>
      <x:c r="I529" s="11"/>
      <x:c r="J529" s="11"/>
      <x:c r="K529" s="11" t="n">
        <x:f aca="0">SUM(F529*H529)</x:f>
        <x:v>0</x:v>
      </x:c>
      <x:c r="L529" s="11"/>
      <x:c r="M529" s="11"/>
      <x:c r="N529" s="11"/>
      <x:c r="O529" s="11"/>
      <x:c r="P529" s="11"/>
      <x:c r="Q529" s="11"/>
      <x:c r="R529" s="9"/>
      <x:c r="S529" s="13"/>
      <x:c r="T529"/>
    </x:row>
    <x:row r="530" ht="22.200000762939453" hidden="0">
      <x:c r="A530" s="10" t="s">
        <x:v>43</x:v>
      </x:c>
      <x:c r="B530" s="10"/>
      <x:c r="C530" s="10"/>
      <x:c r="D530" s="10"/>
      <x:c r="E530" s="10"/>
      <x:c r="F530" s="10"/>
      <x:c r="G530" s="10"/>
      <x:c r="H530" s="10" t="n">
        <x:v>1</x:v>
      </x:c>
      <x:c r="I530" s="11"/>
      <x:c r="J530" s="11"/>
      <x:c r="K530" s="11" t="n">
        <x:f aca="0">SUM(F530*H530)</x:f>
        <x:v>0</x:v>
      </x:c>
      <x:c r="L530" s="11"/>
      <x:c r="M530" s="11"/>
      <x:c r="N530" s="11"/>
      <x:c r="O530" s="11"/>
      <x:c r="P530" s="11"/>
      <x:c r="Q530" s="11"/>
      <x:c r="T530"/>
    </x:row>
    <x:row r="531" ht="22.200000762939453" hidden="0">
      <x:c r="A531" s="10" t="s">
        <x:v>44</x:v>
      </x:c>
      <x:c r="B531" s="10"/>
      <x:c r="C531" s="10"/>
      <x:c r="D531" s="10"/>
      <x:c r="E531" s="10"/>
      <x:c r="F531" s="10"/>
      <x:c r="G531" s="10"/>
      <x:c r="H531" s="10" t="n">
        <x:v>11</x:v>
      </x:c>
      <x:c r="I531" s="11"/>
      <x:c r="J531" s="11"/>
      <x:c r="K531" s="11" t="n">
        <x:f aca="0">SUM(F531*H531)</x:f>
        <x:v>0</x:v>
      </x:c>
      <x:c r="L531" s="11"/>
      <x:c r="M531" s="11"/>
      <x:c r="N531" s="11"/>
      <x:c r="O531" s="11"/>
      <x:c r="P531" s="11"/>
      <x:c r="Q531" s="11"/>
      <x:c r="T531"/>
    </x:row>
    <x:row r="532" ht="22.200000762939453" hidden="0">
      <x:c r="A532" s="10" t="s">
        <x:v>45</x:v>
      </x:c>
      <x:c r="B532" s="10"/>
      <x:c r="C532" s="10"/>
      <x:c r="D532" s="10"/>
      <x:c r="E532" s="10"/>
      <x:c r="F532" s="10"/>
      <x:c r="G532" s="10"/>
      <x:c r="H532" s="10" t="n">
        <x:v>7</x:v>
      </x:c>
      <x:c r="I532" s="11"/>
      <x:c r="J532" s="11"/>
      <x:c r="K532" s="11" t="n">
        <x:f aca="0">SUM(F532*H532)</x:f>
        <x:v>0</x:v>
      </x:c>
      <x:c r="L532" s="11"/>
      <x:c r="M532" s="11"/>
      <x:c r="N532" s="11"/>
      <x:c r="O532" s="11"/>
      <x:c r="P532" s="11"/>
      <x:c r="Q532" s="11"/>
      <x:c r="T532"/>
    </x:row>
    <x:row r="533" ht="22.200000762939453" hidden="0">
      <x:c r="A533" s="12" t="s">
        <x:v>65</x:v>
      </x:c>
      <x:c r="B533" s="10"/>
      <x:c r="C533" s="10"/>
      <x:c r="D533" s="10"/>
      <x:c r="E533" s="10"/>
      <x:c r="F533" s="10"/>
      <x:c r="G533" s="10"/>
      <x:c r="H533" s="10" t="n">
        <x:v>50</x:v>
      </x:c>
      <x:c r="I533" s="11"/>
      <x:c r="J533" s="11"/>
      <x:c r="K533" s="11" t="n">
        <x:f aca="0">SUM(F533*H533)</x:f>
        <x:v>0</x:v>
      </x:c>
      <x:c r="L533" s="11"/>
      <x:c r="M533" s="11"/>
      <x:c r="N533" s="11"/>
      <x:c r="O533" s="11"/>
      <x:c r="P533" s="11"/>
      <x:c r="Q533" s="11"/>
      <x:c r="T533"/>
    </x:row>
    <x:row r="534" ht="22.200000762939453" hidden="0">
      <x:c r="A534" s="10" t="s">
        <x:v>47</x:v>
      </x:c>
      <x:c r="B534" s="10"/>
      <x:c r="C534" s="10"/>
      <x:c r="D534" s="10"/>
      <x:c r="E534" s="10"/>
      <x:c r="F534" s="10"/>
      <x:c r="G534" s="10"/>
      <x:c r="H534" s="10" t="n">
        <x:v>90</x:v>
      </x:c>
      <x:c r="I534" s="11"/>
      <x:c r="J534" s="11"/>
      <x:c r="K534" s="11" t="n">
        <x:f aca="0">SUM(F534*H534)</x:f>
        <x:v>0</x:v>
      </x:c>
      <x:c r="L534" s="11"/>
      <x:c r="M534" s="11"/>
      <x:c r="N534" s="11"/>
      <x:c r="O534" s="11"/>
      <x:c r="P534" s="11"/>
      <x:c r="Q534" s="11"/>
      <x:c r="T534"/>
    </x:row>
    <x:row r="535" ht="22.200000762939453" hidden="0">
      <x:c r="A535" s="10" t="s">
        <x:v>48</x:v>
      </x:c>
      <x:c r="B535" s="10"/>
      <x:c r="C535" s="10"/>
      <x:c r="D535" s="10"/>
      <x:c r="E535" s="10"/>
      <x:c r="F535" s="10"/>
      <x:c r="G535" s="10"/>
      <x:c r="H535" s="10" t="n">
        <x:v>275</x:v>
      </x:c>
      <x:c r="I535" s="11"/>
      <x:c r="J535" s="11"/>
      <x:c r="K535" s="11" t="n">
        <x:f aca="0">SUM(F535*H535)</x:f>
        <x:v>0</x:v>
      </x:c>
      <x:c r="L535" s="11"/>
      <x:c r="M535" s="11"/>
      <x:c r="N535" s="11"/>
      <x:c r="O535" s="11"/>
      <x:c r="P535" s="11"/>
      <x:c r="Q535" s="11"/>
      <x:c r="T535"/>
    </x:row>
    <x:row r="536" ht="22.200000762939453" hidden="0">
      <x:c r="A536" s="12" t="s">
        <x:v>49</x:v>
      </x:c>
      <x:c r="B536" s="10"/>
      <x:c r="C536" s="10"/>
      <x:c r="D536" s="10"/>
      <x:c r="E536" s="10"/>
      <x:c r="F536" s="10"/>
      <x:c r="G536" s="10"/>
      <x:c r="H536" s="10" t="n">
        <x:v>165</x:v>
      </x:c>
      <x:c r="I536" s="11"/>
      <x:c r="J536" s="11"/>
      <x:c r="K536" s="11" t="n">
        <x:f aca="0">SUM(F536*H536)</x:f>
        <x:v>0</x:v>
      </x:c>
      <x:c r="L536" s="11"/>
      <x:c r="M536" s="11"/>
      <x:c r="N536" s="11"/>
      <x:c r="O536" s="11"/>
      <x:c r="P536" s="11"/>
      <x:c r="Q536" s="11"/>
      <x:c r="T536"/>
    </x:row>
    <x:row r="537" ht="22.200000762939453" hidden="0">
      <x:c r="A537" s="12" t="s">
        <x:v>50</x:v>
      </x:c>
      <x:c r="B537" s="10"/>
      <x:c r="C537" s="10"/>
      <x:c r="D537" s="10"/>
      <x:c r="E537" s="10"/>
      <x:c r="F537" s="10"/>
      <x:c r="G537" s="10"/>
      <x:c r="H537" s="10"/>
      <x:c r="I537" s="11"/>
      <x:c r="J537" s="11"/>
      <x:c r="K537" s="11" t="n">
        <x:f aca="0">SUM(F537*H537)</x:f>
        <x:v>0</x:v>
      </x:c>
      <x:c r="L537" s="11"/>
      <x:c r="M537" s="11"/>
      <x:c r="N537" s="11"/>
      <x:c r="O537" s="11"/>
      <x:c r="P537" s="11"/>
      <x:c r="Q537" s="11"/>
      <x:c r="T537"/>
    </x:row>
    <x:row r="538" ht="22.200000762939453" hidden="0">
      <x:c r="A538" s="12" t="s">
        <x:v>51</x:v>
      </x:c>
      <x:c r="B538" s="10"/>
      <x:c r="C538" s="10"/>
      <x:c r="D538" s="10"/>
      <x:c r="E538" s="10"/>
      <x:c r="F538" s="10"/>
      <x:c r="G538" s="10"/>
      <x:c r="H538" s="10"/>
      <x:c r="I538" s="11"/>
      <x:c r="J538" s="11"/>
      <x:c r="K538" s="11" t="n">
        <x:f aca="0">SUM(F538*H538)</x:f>
        <x:v>0</x:v>
      </x:c>
      <x:c r="L538" s="11"/>
      <x:c r="M538" s="11"/>
      <x:c r="N538" s="11"/>
      <x:c r="O538" s="11"/>
      <x:c r="P538" s="11"/>
      <x:c r="Q538" s="11"/>
      <x:c r="T538"/>
    </x:row>
    <x:row r="539" ht="22.200000762939453" hidden="0">
      <x:c r="A539" s="12" t="s">
        <x:v>52</x:v>
      </x:c>
      <x:c r="B539" s="10"/>
      <x:c r="C539" s="10"/>
      <x:c r="D539" s="10"/>
      <x:c r="E539" s="10"/>
      <x:c r="F539" s="10"/>
      <x:c r="G539" s="10"/>
      <x:c r="H539" s="10"/>
      <x:c r="I539" s="11"/>
      <x:c r="J539" s="11"/>
      <x:c r="K539" s="11" t="n">
        <x:f aca="0">SUM(F539*H539)</x:f>
        <x:v>0</x:v>
      </x:c>
      <x:c r="L539" s="11"/>
      <x:c r="M539" s="11"/>
      <x:c r="N539" s="11"/>
      <x:c r="O539" s="11"/>
      <x:c r="P539" s="11"/>
      <x:c r="Q539" s="11"/>
      <x:c r="T539"/>
    </x:row>
    <x:row r="540" ht="22.200000762939453" hidden="0">
      <x:c r="A540" s="12" t="s">
        <x:v>53</x:v>
      </x:c>
      <x:c r="B540" s="10"/>
      <x:c r="C540" s="10"/>
      <x:c r="D540" s="10"/>
      <x:c r="E540" s="10"/>
      <x:c r="F540" s="10"/>
      <x:c r="G540" s="10"/>
      <x:c r="H540" s="10" t="n">
        <x:v>66</x:v>
      </x:c>
      <x:c r="I540" s="11"/>
      <x:c r="J540" s="11"/>
      <x:c r="K540" s="11" t="n">
        <x:f aca="0">SUM(F540*H540)</x:f>
        <x:v>0</x:v>
      </x:c>
      <x:c r="L540" s="11"/>
      <x:c r="M540" s="11"/>
      <x:c r="N540" s="11"/>
      <x:c r="O540" s="11"/>
      <x:c r="P540" s="11"/>
      <x:c r="Q540" s="11"/>
      <x:c r="T540"/>
    </x:row>
    <x:row r="541" ht="22.200000762939453" hidden="0">
      <x:c r="A541" s="10" t="s">
        <x:v>54</x:v>
      </x:c>
      <x:c r="B541" s="10"/>
      <x:c r="C541" s="10"/>
      <x:c r="D541" s="10"/>
      <x:c r="E541" s="10"/>
      <x:c r="F541" s="10"/>
      <x:c r="G541" s="10"/>
      <x:c r="H541" s="10" t="n">
        <x:v>220</x:v>
      </x:c>
      <x:c r="I541" s="11"/>
      <x:c r="J541" s="11"/>
      <x:c r="K541" s="11" t="n">
        <x:f aca="0">SUM(F541*H541)</x:f>
        <x:v>0</x:v>
      </x:c>
      <x:c r="L541" s="11"/>
      <x:c r="M541" s="11"/>
      <x:c r="N541" s="11"/>
      <x:c r="O541" s="11"/>
      <x:c r="P541" s="11"/>
      <x:c r="Q541" s="11"/>
      <x:c r="T541"/>
    </x:row>
    <x:row r="542" ht="22.200000762939453" hidden="0">
      <x:c r="A542" s="12" t="s">
        <x:v>55</x:v>
      </x:c>
      <x:c r="B542" s="10"/>
      <x:c r="C542" s="10"/>
      <x:c r="D542" s="10"/>
      <x:c r="E542" s="10"/>
      <x:c r="F542" s="10"/>
      <x:c r="G542" s="10"/>
      <x:c r="H542" s="10"/>
      <x:c r="I542" s="11"/>
      <x:c r="J542" s="11"/>
      <x:c r="K542" s="11" t="n">
        <x:f aca="0">SUM(F542*H542)</x:f>
        <x:v>0</x:v>
      </x:c>
      <x:c r="L542" s="11"/>
      <x:c r="M542" s="11"/>
      <x:c r="N542" s="11"/>
      <x:c r="O542" s="11"/>
      <x:c r="P542" s="11"/>
      <x:c r="Q542" s="11"/>
      <x:c r="T542"/>
    </x:row>
    <x:row r="543" ht="22.200000762939453" hidden="0">
      <x:c r="A543" s="10" t="s">
        <x:v>56</x:v>
      </x:c>
      <x:c r="B543" s="10"/>
      <x:c r="C543" s="10"/>
      <x:c r="D543" s="10"/>
      <x:c r="E543" s="10"/>
      <x:c r="F543" s="10"/>
      <x:c r="G543" s="10"/>
      <x:c r="H543" s="10" t="n">
        <x:v>800</x:v>
      </x:c>
      <x:c r="I543" s="11"/>
      <x:c r="J543" s="11"/>
      <x:c r="K543" s="11" t="n">
        <x:f aca="0">SUM(F543*H543)</x:f>
        <x:v>0</x:v>
      </x:c>
      <x:c r="L543" s="11"/>
      <x:c r="M543" s="11"/>
      <x:c r="N543" s="11"/>
      <x:c r="O543" s="11"/>
      <x:c r="P543" s="11"/>
      <x:c r="Q543" s="11"/>
      <x:c r="T543"/>
    </x:row>
    <x:row r="544" ht="22.200000762939453" hidden="0">
      <x:c r="A544" s="10" t="s">
        <x:v>57</x:v>
      </x:c>
      <x:c r="B544" s="10"/>
      <x:c r="C544" s="10"/>
      <x:c r="D544" s="10"/>
      <x:c r="E544" s="10"/>
      <x:c r="F544" s="10"/>
      <x:c r="G544" s="10"/>
      <x:c r="H544" s="10" t="n">
        <x:v>200</x:v>
      </x:c>
      <x:c r="I544" s="11"/>
      <x:c r="J544" s="11"/>
      <x:c r="K544" s="11" t="n">
        <x:f aca="0">SUM(F544*H544)</x:f>
        <x:v>0</x:v>
      </x:c>
      <x:c r="L544" s="11"/>
      <x:c r="M544" s="11"/>
      <x:c r="N544" s="11"/>
      <x:c r="O544" s="11"/>
      <x:c r="P544" s="11"/>
      <x:c r="Q544" s="11"/>
      <x:c r="T544"/>
    </x:row>
    <x:row r="545" ht="22.200000762939453" hidden="0">
      <x:c r="A545" s="10" t="s">
        <x:v>58</x:v>
      </x:c>
      <x:c r="B545" s="10"/>
      <x:c r="C545" s="10"/>
      <x:c r="D545" s="10"/>
      <x:c r="E545" s="10"/>
      <x:c r="F545" s="10"/>
      <x:c r="G545" s="10"/>
      <x:c r="H545" s="10" t="n">
        <x:v>150</x:v>
      </x:c>
      <x:c r="I545" s="11"/>
      <x:c r="J545" s="11"/>
      <x:c r="K545" s="11" t="n">
        <x:f aca="0">SUM(F545*H545)</x:f>
        <x:v>0</x:v>
      </x:c>
      <x:c r="L545" s="11"/>
      <x:c r="M545" s="11"/>
      <x:c r="N545" s="11"/>
      <x:c r="O545" s="11"/>
      <x:c r="P545" s="11"/>
      <x:c r="Q545" s="11"/>
      <x:c r="T545"/>
    </x:row>
    <x:row r="546" ht="22.200000762939453" hidden="0">
      <x:c r="A546" s="10" t="s">
        <x:v>59</x:v>
      </x:c>
      <x:c r="B546" s="10"/>
      <x:c r="C546" s="10"/>
      <x:c r="D546" s="10"/>
      <x:c r="E546" s="10"/>
      <x:c r="F546" s="10"/>
      <x:c r="G546" s="10"/>
      <x:c r="H546" s="10" t="n">
        <x:v>34</x:v>
      </x:c>
      <x:c r="I546" s="11"/>
      <x:c r="J546" s="11"/>
      <x:c r="K546" s="11" t="n">
        <x:f aca="0">SUM(F546*H546)</x:f>
        <x:v>0</x:v>
      </x:c>
      <x:c r="L546" s="11"/>
      <x:c r="M546" s="11"/>
      <x:c r="N546" s="11"/>
      <x:c r="O546" s="11"/>
      <x:c r="P546" s="11"/>
      <x:c r="Q546" s="11"/>
      <x:c r="T546"/>
    </x:row>
    <x:row r="547" ht="22.200000762939453" hidden="0">
      <x:c r="A547" s="10" t="s">
        <x:v>60</x:v>
      </x:c>
      <x:c r="B547" s="10"/>
      <x:c r="C547" s="10"/>
      <x:c r="D547" s="10"/>
      <x:c r="E547" s="10"/>
      <x:c r="F547" s="10"/>
      <x:c r="G547" s="10"/>
      <x:c r="H547" s="10" t="n">
        <x:v>6</x:v>
      </x:c>
      <x:c r="I547" s="11"/>
      <x:c r="J547" s="11"/>
      <x:c r="K547" s="11" t="n">
        <x:f aca="0">SUM(F547*H547)</x:f>
        <x:v>0</x:v>
      </x:c>
      <x:c r="L547" s="11"/>
      <x:c r="M547" s="11"/>
      <x:c r="N547" s="11"/>
      <x:c r="O547" s="11"/>
      <x:c r="P547" s="11"/>
      <x:c r="Q547" s="11"/>
      <x:c r="T547"/>
    </x:row>
    <x:row r="548" ht="22.200000762939453" hidden="0">
      <x:c r="A548" s="10" t="s">
        <x:v>61</x:v>
      </x:c>
      <x:c r="B548" s="10"/>
      <x:c r="C548" s="10"/>
      <x:c r="D548" s="10"/>
      <x:c r="E548" s="10"/>
      <x:c r="F548" s="10"/>
      <x:c r="G548" s="10"/>
      <x:c r="H548" s="10" t="n">
        <x:v>670</x:v>
      </x:c>
      <x:c r="I548" s="11"/>
      <x:c r="J548" s="11"/>
      <x:c r="K548" s="11" t="n">
        <x:f aca="0">SUM(F548*H548)</x:f>
        <x:v>0</x:v>
      </x:c>
      <x:c r="L548" s="11"/>
      <x:c r="M548" s="11"/>
      <x:c r="N548" s="11"/>
      <x:c r="O548" s="11"/>
      <x:c r="P548" s="11"/>
      <x:c r="Q548" s="11"/>
      <x:c r="T548"/>
    </x:row>
    <x:row r="549" ht="22.200000762939453" hidden="0">
      <x:c r="A549" s="10" t="s">
        <x:v>62</x:v>
      </x:c>
      <x:c r="B549" s="10"/>
      <x:c r="C549" s="10"/>
      <x:c r="D549" s="10"/>
      <x:c r="E549" s="10"/>
      <x:c r="F549" s="10"/>
      <x:c r="G549" s="10"/>
      <x:c r="H549" s="10" t="n">
        <x:v>110</x:v>
      </x:c>
      <x:c r="I549" s="11"/>
      <x:c r="J549" s="11"/>
      <x:c r="K549" s="11" t="n">
        <x:f aca="0">SUM(F549*H549)</x:f>
        <x:v>0</x:v>
      </x:c>
      <x:c r="L549" s="11"/>
      <x:c r="M549" s="11"/>
      <x:c r="N549" s="11"/>
      <x:c r="O549" s="11"/>
      <x:c r="P549" s="11"/>
      <x:c r="Q549" s="11"/>
      <x:c r="T549"/>
    </x:row>
    <x:row r="550" ht="22.200000762939453" hidden="0">
      <x:c r="A550" s="10" t="s">
        <x:v>63</x:v>
      </x:c>
      <x:c r="B550" s="10"/>
      <x:c r="C550" s="10"/>
      <x:c r="D550" s="10"/>
      <x:c r="E550" s="10"/>
      <x:c r="F550" s="10"/>
      <x:c r="G550" s="10"/>
      <x:c r="H550" s="10"/>
      <x:c r="I550" s="11"/>
      <x:c r="J550" s="11"/>
      <x:c r="K550" s="11" t="n">
        <x:f aca="0">SUM(F550*H550)</x:f>
        <x:v>0</x:v>
      </x:c>
      <x:c r="L550" s="11"/>
      <x:c r="M550" s="11"/>
      <x:c r="N550" s="11"/>
      <x:c r="O550" s="11"/>
      <x:c r="P550" s="11"/>
      <x:c r="Q550" s="11"/>
      <x:c r="T550"/>
    </x:row>
    <x:row r="551" ht="22.200000762939453" hidden="0">
      <x:c r="A551" s="10"/>
      <x:c r="B551" s="10"/>
      <x:c r="C551" s="10"/>
      <x:c r="D551" s="10"/>
      <x:c r="E551" s="10"/>
      <x:c r="F551" s="10"/>
      <x:c r="G551" s="10"/>
      <x:c r="H551" s="10"/>
      <x:c r="I551" s="11"/>
      <x:c r="J551" s="11"/>
      <x:c r="K551" s="11" t="n">
        <x:f aca="0">SUM(F551*H551)</x:f>
        <x:v>0</x:v>
      </x:c>
      <x:c r="L551" s="11"/>
      <x:c r="M551" s="11"/>
      <x:c r="N551" s="11"/>
      <x:c r="O551" s="11"/>
      <x:c r="P551" s="11"/>
      <x:c r="Q551" s="11"/>
      <x:c r="T551"/>
    </x:row>
    <x:row r="552" ht="22.200000762939453" hidden="0">
      <x:c r="A552" s="15"/>
      <x:c r="B552" s="15"/>
      <x:c r="C552" s="15"/>
      <x:c r="D552" s="15"/>
      <x:c r="E552" s="15"/>
      <x:c r="F552" s="15"/>
      <x:c r="G552" s="15"/>
      <x:c r="H552" s="15"/>
      <x:c r="I552" s="11" t="n">
        <x:f aca="0">SUM(B552*C552)/90000</x:f>
        <x:v>0</x:v>
      </x:c>
      <x:c r="J552" s="15" t="s">
        <x:v>17</x:v>
      </x:c>
      <x:c r="K552" s="16" t="n">
        <x:f aca="0">SUM(K479:K551)</x:f>
        <x:v>0</x:v>
      </x:c>
      <x:c r="L552" s="16" t="n">
        <x:f aca="0">SUM(K552*1.35)</x:f>
        <x:v>0</x:v>
      </x:c>
      <x:c r="M552" s="16"/>
      <x:c r="N552" s="16" t="n">
        <x:f aca="0">SUM(M552*1.25)</x:f>
        <x:v>0</x:v>
      </x:c>
      <x:c r="O552" s="16"/>
      <x:c r="P552" s="16"/>
      <x:c r="Q552" s="16"/>
      <x:c r="T552"/>
    </x:row>
    <x:row r="556" ht="22.200000762939453" hidden="0">
      <x:c r="A556" s="5"/>
      <x:c r="B556" s="5"/>
      <x:c r="C556" s="5"/>
      <x:c r="D556" s="5"/>
      <x:c r="E556" s="5"/>
      <x:c r="F556" s="5"/>
      <x:c r="G556" s="6"/>
      <x:c r="H556" s="5"/>
      <x:c r="I556" s="3"/>
      <x:c r="J556" s="3"/>
      <x:c r="K556" s="4"/>
      <x:c r="L556" s="4"/>
      <x:c r="M556" s="4"/>
      <x:c r="N556" s="4"/>
      <x:c r="O556" s="4"/>
      <x:c r="P556" s="4"/>
      <x:c r="Q556" s="4"/>
      <x:c r="R556" s="4"/>
    </x:row>
    <x:row r="557" ht="22.200000762939453" hidden="0">
      <x:c r="A557" s="7" t="s">
        <x:v>3</x:v>
      </x:c>
      <x:c r="B557" s="8" t="s">
        <x:v>4</x:v>
      </x:c>
      <x:c r="C557" s="8"/>
      <x:c r="D557" s="7" t="s">
        <x:v>5</x:v>
      </x:c>
      <x:c r="E557" s="7"/>
      <x:c r="F557" s="7" t="s">
        <x:v>6</x:v>
      </x:c>
      <x:c r="G557" s="7"/>
      <x:c r="H557" s="7" t="s">
        <x:v>7</x:v>
      </x:c>
      <x:c r="I557" s="7" t="s">
        <x:v>8</x:v>
      </x:c>
      <x:c r="J557" s="7" t="s">
        <x:v>9</x:v>
      </x:c>
      <x:c r="K557" s="7" t="s">
        <x:v>10</x:v>
      </x:c>
      <x:c r="L557" s="7"/>
      <x:c r="M557" s="7" t="s">
        <x:v>11</x:v>
      </x:c>
      <x:c r="N557" s="7" t="s">
        <x:v>12</x:v>
      </x:c>
      <x:c r="O557" s="7" t="s">
        <x:v>6</x:v>
      </x:c>
      <x:c r="P557" s="7" t="s">
        <x:v>13</x:v>
      </x:c>
      <x:c r="Q557" s="7" t="s">
        <x:v>14</x:v>
      </x:c>
      <x:c r="R557" s="9" t="s">
        <x:v>15</x:v>
      </x:c>
      <x:c r="S557" s="9" t="s">
        <x:v>16</x:v>
      </x:c>
      <x:c r="T557"/>
    </x:row>
    <x:row r="558" ht="22.200000762939453" hidden="0">
      <x:c r="A558" s="10" t="s">
        <x:v>18</x:v>
      </x:c>
      <x:c r="B558" s="10"/>
      <x:c r="C558" s="10"/>
      <x:c r="D558" s="10" t="n">
        <x:v>18</x:v>
      </x:c>
      <x:c r="E558" s="10"/>
      <x:c r="F558" s="10"/>
      <x:c r="G558" s="10"/>
      <x:c r="H558" s="10" t="n">
        <x:v>69</x:v>
      </x:c>
      <x:c r="I558" s="11" t="n">
        <x:f aca="0">ROUND((IF((B558*C558)/90000&lt;1,1))+IF((B558*C558)/90000&gt;=1,(B558*C558)/90000),1.1)</x:f>
        <x:v>1</x:v>
      </x:c>
      <x:c r="J558" s="11" t="n">
        <x:f aca="0">SUM(F558*I558)</x:f>
        <x:v>0</x:v>
      </x:c>
      <x:c r="K558" s="11" t="n">
        <x:f aca="0">SUM(H558*J558)</x:f>
        <x:v>0</x:v>
      </x:c>
      <x:c r="L558" s="11"/>
      <x:c r="M558" s="11" t="n">
        <x:f aca="0">SUM(C558-1)</x:f>
        <x:v>-1</x:v>
      </x:c>
      <x:c r="N558" s="11" t="n">
        <x:f aca="0">SUM(B558-1)</x:f>
        <x:v>-1</x:v>
      </x:c>
      <x:c r="O558" s="11" t="n">
        <x:f aca="0">SUM(F558*1)</x:f>
        <x:v>0</x:v>
      </x:c>
      <x:c r="P558" s="11"/>
      <x:c r="Q558" s="11" t="str">
        <x:f aca="0">A558</x:f>
        <x:v>側板</x:v>
      </x:c>
      <x:c r="R558" s="1" t="n">
        <x:f aca="0">SUM(B558*2+C558*2)*F558</x:f>
        <x:v>0</x:v>
      </x:c>
      <x:c r="T558"/>
    </x:row>
    <x:row r="559" ht="22.200000762939453" hidden="0">
      <x:c r="A559" s="10" t="s">
        <x:v>18</x:v>
      </x:c>
      <x:c r="B559" s="10"/>
      <x:c r="C559" s="10"/>
      <x:c r="D559" s="10" t="n">
        <x:v>18</x:v>
      </x:c>
      <x:c r="E559" s="10"/>
      <x:c r="F559" s="10"/>
      <x:c r="G559" s="10"/>
      <x:c r="H559" s="10" t="n">
        <x:v>69</x:v>
      </x:c>
      <x:c r="I559" s="11" t="n">
        <x:f aca="0">ROUND((IF((B559*C559)/90000&lt;1,1))+IF((B559*C559)/90000&gt;=1,(B559*C559)/90000),1.1)</x:f>
        <x:v>1</x:v>
      </x:c>
      <x:c r="J559" s="11" t="n">
        <x:f aca="0">SUM(F559*I559)</x:f>
        <x:v>0</x:v>
      </x:c>
      <x:c r="K559" s="11" t="n">
        <x:f aca="0">SUM(H559*J559)</x:f>
        <x:v>0</x:v>
      </x:c>
      <x:c r="L559" s="11"/>
      <x:c r="M559" s="11" t="n">
        <x:f aca="0">SUM(C559-1)</x:f>
        <x:v>-1</x:v>
      </x:c>
      <x:c r="N559" s="11" t="n">
        <x:f aca="0">SUM(B559-1)</x:f>
        <x:v>-1</x:v>
      </x:c>
      <x:c r="O559" s="11" t="n">
        <x:f aca="0">SUM(F559*1)</x:f>
        <x:v>0</x:v>
      </x:c>
      <x:c r="P559" s="11"/>
      <x:c r="Q559" s="11" t="str">
        <x:f aca="0">A559</x:f>
        <x:v>側板</x:v>
      </x:c>
      <x:c r="R559" s="1" t="n">
        <x:f aca="0">SUM(B559*2+C559*2)*F559</x:f>
        <x:v>0</x:v>
      </x:c>
      <x:c r="T559"/>
    </x:row>
    <x:row r="560" ht="22.200000762939453" hidden="0">
      <x:c r="A560" s="10" t="s">
        <x:v>18</x:v>
      </x:c>
      <x:c r="B560" s="10"/>
      <x:c r="C560" s="10"/>
      <x:c r="D560" s="10" t="n">
        <x:v>18</x:v>
      </x:c>
      <x:c r="E560" s="10"/>
      <x:c r="F560" s="10"/>
      <x:c r="G560" s="10"/>
      <x:c r="H560" s="10" t="n">
        <x:v>69</x:v>
      </x:c>
      <x:c r="I560" s="11" t="n">
        <x:f aca="0">ROUND((IF((B560*C560)/90000&lt;1,1))+IF((B560*C560)/90000&gt;=1,(B560*C560)/90000),1.1)</x:f>
        <x:v>1</x:v>
      </x:c>
      <x:c r="J560" s="11" t="n">
        <x:f aca="0">SUM(F560*I560)</x:f>
        <x:v>0</x:v>
      </x:c>
      <x:c r="K560" s="11" t="n">
        <x:f aca="0">SUM(H560*J560)</x:f>
        <x:v>0</x:v>
      </x:c>
      <x:c r="L560" s="11"/>
      <x:c r="M560" s="11" t="n">
        <x:f aca="0">SUM(C560-1)</x:f>
        <x:v>-1</x:v>
      </x:c>
      <x:c r="N560" s="11" t="n">
        <x:f aca="0">SUM(B560-1)</x:f>
        <x:v>-1</x:v>
      </x:c>
      <x:c r="O560" s="11" t="n">
        <x:f aca="0">SUM(F560*1)</x:f>
        <x:v>0</x:v>
      </x:c>
      <x:c r="P560" s="11"/>
      <x:c r="Q560" s="11" t="str">
        <x:f aca="0">A560</x:f>
        <x:v>側板</x:v>
      </x:c>
      <x:c r="R560" s="1" t="n">
        <x:f aca="0">SUM(B560*2+C560*2)*F560</x:f>
        <x:v>0</x:v>
      </x:c>
      <x:c r="T560"/>
    </x:row>
    <x:row r="561" ht="22.200000762939453" hidden="0">
      <x:c r="A561" s="10" t="s">
        <x:v>19</x:v>
      </x:c>
      <x:c r="B561" s="10"/>
      <x:c r="C561" s="10"/>
      <x:c r="D561" s="10" t="n">
        <x:v>18</x:v>
      </x:c>
      <x:c r="E561" s="10"/>
      <x:c r="F561" s="10"/>
      <x:c r="G561" s="10"/>
      <x:c r="H561" s="10" t="n">
        <x:v>69</x:v>
      </x:c>
      <x:c r="I561" s="11" t="n">
        <x:f aca="0">ROUND((IF((B561*C561)/90000&lt;1,1))+IF((B561*C561)/90000&gt;=1,(B561*C561)/90000),1.1)</x:f>
        <x:v>1</x:v>
      </x:c>
      <x:c r="J561" s="11" t="n">
        <x:f aca="0">SUM(F561*I561)</x:f>
        <x:v>0</x:v>
      </x:c>
      <x:c r="K561" s="11" t="n">
        <x:f aca="0">SUM(H561*J561)</x:f>
        <x:v>0</x:v>
      </x:c>
      <x:c r="L561" s="11"/>
      <x:c r="M561" s="11" t="n">
        <x:f aca="0">SUM(C561)</x:f>
        <x:v>0</x:v>
      </x:c>
      <x:c r="N561" s="11" t="n">
        <x:f aca="0">SUM(B561-1)</x:f>
        <x:v>-1</x:v>
      </x:c>
      <x:c r="O561" s="11" t="n">
        <x:f aca="0">SUM(F561*1)</x:f>
        <x:v>0</x:v>
      </x:c>
      <x:c r="P561" s="11"/>
      <x:c r="Q561" s="11" t="str">
        <x:f aca="0">A561</x:f>
        <x:v>頂底板</x:v>
      </x:c>
      <x:c r="R561" s="1" t="n">
        <x:f aca="0">SUM(C561*2)*F561</x:f>
        <x:v>0</x:v>
      </x:c>
      <x:c r="T561"/>
    </x:row>
    <x:row r="562" ht="22.200000762939453" hidden="0">
      <x:c r="A562" s="10" t="s">
        <x:v>19</x:v>
      </x:c>
      <x:c r="B562" s="10"/>
      <x:c r="C562" s="10"/>
      <x:c r="D562" s="10" t="n">
        <x:v>18</x:v>
      </x:c>
      <x:c r="E562" s="10"/>
      <x:c r="F562" s="10"/>
      <x:c r="G562" s="10"/>
      <x:c r="H562" s="10" t="n">
        <x:v>69</x:v>
      </x:c>
      <x:c r="I562" s="11" t="n">
        <x:f aca="0">ROUND((IF((B562*C562)/90000&lt;1,1))+IF((B562*C562)/90000&gt;=1,(B562*C562)/90000),1.1)</x:f>
        <x:v>1</x:v>
      </x:c>
      <x:c r="J562" s="11" t="n">
        <x:f aca="0">SUM(F562*I562)</x:f>
        <x:v>0</x:v>
      </x:c>
      <x:c r="K562" s="11" t="n">
        <x:f aca="0">SUM(H562*J562)</x:f>
        <x:v>0</x:v>
      </x:c>
      <x:c r="L562" s="11"/>
      <x:c r="M562" s="11" t="n">
        <x:f aca="0">SUM(C562)</x:f>
        <x:v>0</x:v>
      </x:c>
      <x:c r="N562" s="11" t="n">
        <x:f aca="0">SUM(B562-1)</x:f>
        <x:v>-1</x:v>
      </x:c>
      <x:c r="O562" s="11" t="n">
        <x:f aca="0">SUM(F562*1)</x:f>
        <x:v>0</x:v>
      </x:c>
      <x:c r="P562" s="11"/>
      <x:c r="Q562" s="11" t="str">
        <x:f aca="0">A562</x:f>
        <x:v>頂底板</x:v>
      </x:c>
      <x:c r="R562" s="1" t="n">
        <x:f aca="0">SUM(C562*2)*F562</x:f>
        <x:v>0</x:v>
      </x:c>
      <x:c r="T562"/>
    </x:row>
    <x:row r="563" ht="22.200000762939453" hidden="0">
      <x:c r="A563" s="10" t="s">
        <x:v>19</x:v>
      </x:c>
      <x:c r="B563" s="10"/>
      <x:c r="C563" s="10"/>
      <x:c r="D563" s="10" t="n">
        <x:v>18</x:v>
      </x:c>
      <x:c r="E563" s="10"/>
      <x:c r="F563" s="10"/>
      <x:c r="G563" s="10"/>
      <x:c r="H563" s="10" t="n">
        <x:v>69</x:v>
      </x:c>
      <x:c r="I563" s="11" t="n">
        <x:f aca="0">ROUND((IF((B563*C563)/90000&lt;1,1))+IF((B563*C563)/90000&gt;=1,(B563*C563)/90000),1.1)</x:f>
        <x:v>1</x:v>
      </x:c>
      <x:c r="J563" s="11" t="n">
        <x:f aca="0">SUM(F563*I563)</x:f>
        <x:v>0</x:v>
      </x:c>
      <x:c r="K563" s="11" t="n">
        <x:f aca="0">SUM(H563*J563)</x:f>
        <x:v>0</x:v>
      </x:c>
      <x:c r="L563" s="11"/>
      <x:c r="M563" s="11" t="n">
        <x:f aca="0">SUM(C563)</x:f>
        <x:v>0</x:v>
      </x:c>
      <x:c r="N563" s="11" t="n">
        <x:f aca="0">SUM(B563-1)</x:f>
        <x:v>-1</x:v>
      </x:c>
      <x:c r="O563" s="11" t="n">
        <x:f aca="0">SUM(F563*1)</x:f>
        <x:v>0</x:v>
      </x:c>
      <x:c r="P563" s="11"/>
      <x:c r="Q563" s="11" t="str">
        <x:f aca="0">A563</x:f>
        <x:v>頂底板</x:v>
      </x:c>
      <x:c r="R563" s="1" t="n">
        <x:f aca="0">SUM(C563*2)*F563</x:f>
        <x:v>0</x:v>
      </x:c>
      <x:c r="T563"/>
    </x:row>
    <x:row r="564" ht="22.200000762939453" hidden="0">
      <x:c r="A564" s="10" t="s">
        <x:v>20</x:v>
      </x:c>
      <x:c r="B564" s="10"/>
      <x:c r="C564" s="10"/>
      <x:c r="D564" s="10" t="n">
        <x:v>18</x:v>
      </x:c>
      <x:c r="E564" s="10"/>
      <x:c r="F564" s="10"/>
      <x:c r="G564" s="10"/>
      <x:c r="H564" s="10" t="n">
        <x:v>74</x:v>
      </x:c>
      <x:c r="I564" s="11" t="n">
        <x:f aca="0">ROUND((IF((B564*C564)/90000&lt;1,1))+IF((B564*C564)/90000&gt;=1,(B564*C564)/90000),1.1)</x:f>
        <x:v>1</x:v>
      </x:c>
      <x:c r="J564" s="11" t="n">
        <x:f aca="0">SUM(F564*I564)</x:f>
        <x:v>0</x:v>
      </x:c>
      <x:c r="K564" s="11" t="n">
        <x:f aca="0">SUM(H564*J564)</x:f>
        <x:v>0</x:v>
      </x:c>
      <x:c r="L564" s="11"/>
      <x:c r="M564" s="11" t="n">
        <x:f aca="0">SUM(C564)</x:f>
        <x:v>0</x:v>
      </x:c>
      <x:c r="N564" s="11" t="n">
        <x:f aca="0">SUM(B564-1)</x:f>
        <x:v>-1</x:v>
      </x:c>
      <x:c r="O564" s="11" t="n">
        <x:f aca="0">SUM(F564*1)</x:f>
        <x:v>0</x:v>
      </x:c>
      <x:c r="P564" s="11"/>
      <x:c r="Q564" s="11" t="str">
        <x:f aca="0">A564</x:f>
        <x:v>中立板</x:v>
      </x:c>
      <x:c r="R564" s="1" t="n">
        <x:f aca="0">SUM(C564*1)*F564</x:f>
        <x:v>0</x:v>
      </x:c>
      <x:c r="T564"/>
    </x:row>
    <x:row r="565" ht="22.200000762939453" hidden="0">
      <x:c r="A565" s="10" t="s">
        <x:v>20</x:v>
      </x:c>
      <x:c r="B565" s="10"/>
      <x:c r="C565" s="10"/>
      <x:c r="D565" s="10" t="n">
        <x:v>18</x:v>
      </x:c>
      <x:c r="E565" s="10"/>
      <x:c r="F565" s="10"/>
      <x:c r="G565" s="10"/>
      <x:c r="H565" s="10" t="n">
        <x:v>74</x:v>
      </x:c>
      <x:c r="I565" s="11" t="n">
        <x:f aca="0">ROUND((IF((B565*C565)/90000&lt;1,1))+IF((B565*C565)/90000&gt;=1,(B565*C565)/90000),1.1)</x:f>
        <x:v>1</x:v>
      </x:c>
      <x:c r="J565" s="11" t="n">
        <x:f aca="0">SUM(F565*I565)</x:f>
        <x:v>0</x:v>
      </x:c>
      <x:c r="K565" s="11" t="n">
        <x:f aca="0">SUM(H565*J565)</x:f>
        <x:v>0</x:v>
      </x:c>
      <x:c r="L565" s="11"/>
      <x:c r="M565" s="11" t="n">
        <x:f aca="0">SUM(C565)</x:f>
        <x:v>0</x:v>
      </x:c>
      <x:c r="N565" s="11" t="n">
        <x:f aca="0">SUM(B565-1)</x:f>
        <x:v>-1</x:v>
      </x:c>
      <x:c r="O565" s="11" t="n">
        <x:f aca="0">SUM(F565*1)</x:f>
        <x:v>0</x:v>
      </x:c>
      <x:c r="P565" s="11"/>
      <x:c r="Q565" s="11" t="str">
        <x:f aca="0">A565</x:f>
        <x:v>中立板</x:v>
      </x:c>
      <x:c r="R565" s="1" t="n">
        <x:f aca="0">SUM(C565*1)*F565</x:f>
        <x:v>0</x:v>
      </x:c>
      <x:c r="T565"/>
    </x:row>
    <x:row r="566" ht="22.200000762939453" hidden="0">
      <x:c r="A566" s="10" t="s">
        <x:v>21</x:v>
      </x:c>
      <x:c r="B566" s="10"/>
      <x:c r="C566" s="10"/>
      <x:c r="D566" s="10" t="n">
        <x:v>18</x:v>
      </x:c>
      <x:c r="E566" s="10"/>
      <x:c r="F566" s="10"/>
      <x:c r="G566" s="10"/>
      <x:c r="H566" s="10" t="n">
        <x:v>69</x:v>
      </x:c>
      <x:c r="I566" s="11" t="n">
        <x:f aca="0">ROUND((IF((B566*C566)/90000&lt;1,1))+IF((B566*C566)/90000&gt;=1,(B566*C566)/90000),1.1)</x:f>
        <x:v>1</x:v>
      </x:c>
      <x:c r="J566" s="11" t="n">
        <x:f aca="0">SUM(F566*I566)</x:f>
        <x:v>0</x:v>
      </x:c>
      <x:c r="K566" s="11" t="n">
        <x:f aca="0">SUM(H566*J566)</x:f>
        <x:v>0</x:v>
      </x:c>
      <x:c r="L566" s="11"/>
      <x:c r="M566" s="11" t="n">
        <x:f aca="0">SUM(C566)</x:f>
        <x:v>0</x:v>
      </x:c>
      <x:c r="N566" s="11" t="n">
        <x:f aca="0">SUM(B566-1)</x:f>
        <x:v>-1</x:v>
      </x:c>
      <x:c r="O566" s="11" t="n">
        <x:f aca="0">SUM(F566*1)</x:f>
        <x:v>0</x:v>
      </x:c>
      <x:c r="P566" s="11"/>
      <x:c r="Q566" s="11" t="str">
        <x:f aca="0">A566</x:f>
        <x:v>固格板</x:v>
      </x:c>
      <x:c r="R566" s="1" t="n">
        <x:f aca="0">SUM(C566*1)*F566</x:f>
        <x:v>0</x:v>
      </x:c>
      <x:c r="T566"/>
    </x:row>
    <x:row r="567" ht="22.200000762939453" hidden="0">
      <x:c r="A567" s="10" t="s">
        <x:v>21</x:v>
      </x:c>
      <x:c r="B567" s="10"/>
      <x:c r="C567" s="10"/>
      <x:c r="D567" s="10" t="n">
        <x:v>18</x:v>
      </x:c>
      <x:c r="E567" s="10"/>
      <x:c r="F567" s="10"/>
      <x:c r="G567" s="10"/>
      <x:c r="H567" s="10" t="n">
        <x:v>69</x:v>
      </x:c>
      <x:c r="I567" s="11" t="n">
        <x:f aca="0">ROUND((IF((B567*C567)/90000&lt;1,1))+IF((B567*C567)/90000&gt;=1,(B567*C567)/90000),1.1)</x:f>
        <x:v>1</x:v>
      </x:c>
      <x:c r="J567" s="11" t="n">
        <x:f aca="0">SUM(F567*I567)</x:f>
        <x:v>0</x:v>
      </x:c>
      <x:c r="K567" s="11" t="n">
        <x:f aca="0">SUM(H567*J567)</x:f>
        <x:v>0</x:v>
      </x:c>
      <x:c r="L567" s="11"/>
      <x:c r="M567" s="11" t="n">
        <x:f aca="0">SUM(C567)</x:f>
        <x:v>0</x:v>
      </x:c>
      <x:c r="N567" s="11" t="n">
        <x:f aca="0">SUM(B567-1)</x:f>
        <x:v>-1</x:v>
      </x:c>
      <x:c r="O567" s="11" t="n">
        <x:f aca="0">SUM(F567*1)</x:f>
        <x:v>0</x:v>
      </x:c>
      <x:c r="P567" s="11"/>
      <x:c r="Q567" s="11" t="str">
        <x:f aca="0">A567</x:f>
        <x:v>固格板</x:v>
      </x:c>
      <x:c r="R567" s="1" t="n">
        <x:f aca="0">SUM(C567*1)*F567</x:f>
        <x:v>0</x:v>
      </x:c>
      <x:c r="T567"/>
    </x:row>
    <x:row r="568" ht="22.200000762939453" hidden="0">
      <x:c r="A568" s="10" t="s">
        <x:v>21</x:v>
      </x:c>
      <x:c r="B568" s="10"/>
      <x:c r="C568" s="10"/>
      <x:c r="D568" s="10" t="n">
        <x:v>18</x:v>
      </x:c>
      <x:c r="E568" s="10"/>
      <x:c r="F568" s="10"/>
      <x:c r="G568" s="10"/>
      <x:c r="H568" s="10" t="n">
        <x:v>69</x:v>
      </x:c>
      <x:c r="I568" s="11" t="n">
        <x:f aca="0">ROUND((IF((B568*C568)/90000&lt;1,1))+IF((B568*C568)/90000&gt;=1,(B568*C568)/90000),1.1)</x:f>
        <x:v>1</x:v>
      </x:c>
      <x:c r="J568" s="11" t="n">
        <x:f aca="0">SUM(F568*I568)</x:f>
        <x:v>0</x:v>
      </x:c>
      <x:c r="K568" s="11" t="n">
        <x:f aca="0">SUM(H568*J568)</x:f>
        <x:v>0</x:v>
      </x:c>
      <x:c r="L568" s="11"/>
      <x:c r="M568" s="11" t="n">
        <x:f aca="0">SUM(C568)</x:f>
        <x:v>0</x:v>
      </x:c>
      <x:c r="N568" s="11" t="n">
        <x:f aca="0">SUM(B568-1)</x:f>
        <x:v>-1</x:v>
      </x:c>
      <x:c r="O568" s="11" t="n">
        <x:f aca="0">SUM(F568*1)</x:f>
        <x:v>0</x:v>
      </x:c>
      <x:c r="P568" s="11"/>
      <x:c r="Q568" s="11" t="str">
        <x:f aca="0">A568</x:f>
        <x:v>固格板</x:v>
      </x:c>
      <x:c r="R568" s="1" t="n">
        <x:f aca="0">SUM(C568*1)*F568</x:f>
        <x:v>0</x:v>
      </x:c>
      <x:c r="T568"/>
    </x:row>
    <x:row r="569" ht="22.200000762939453" hidden="0">
      <x:c r="A569" s="10" t="s">
        <x:v>22</x:v>
      </x:c>
      <x:c r="B569" s="10"/>
      <x:c r="C569" s="10"/>
      <x:c r="D569" s="10" t="n">
        <x:v>18</x:v>
      </x:c>
      <x:c r="E569" s="10"/>
      <x:c r="F569" s="10"/>
      <x:c r="G569" s="10"/>
      <x:c r="H569" s="10" t="n">
        <x:v>69</x:v>
      </x:c>
      <x:c r="I569" s="11" t="n">
        <x:f aca="0">ROUND((IF((B569*C569)/90000&lt;1,1))+IF((B569*C569)/90000&gt;=1,(B569*C569)/90000),1.1)</x:f>
        <x:v>1</x:v>
      </x:c>
      <x:c r="J569" s="11" t="n">
        <x:f aca="0">SUM(F569*I569)</x:f>
        <x:v>0</x:v>
      </x:c>
      <x:c r="K569" s="11" t="n">
        <x:f aca="0">SUM(H569*J569)</x:f>
        <x:v>0</x:v>
      </x:c>
      <x:c r="L569" s="11"/>
      <x:c r="M569" s="11" t="n">
        <x:f aca="0">SUM(C569-1)</x:f>
        <x:v>-1</x:v>
      </x:c>
      <x:c r="N569" s="11" t="n">
        <x:f aca="0">SUM(B569-1)</x:f>
        <x:v>-1</x:v>
      </x:c>
      <x:c r="O569" s="11" t="n">
        <x:f aca="0">SUM(F569*1)</x:f>
        <x:v>0</x:v>
      </x:c>
      <x:c r="P569" s="11"/>
      <x:c r="Q569" s="11" t="str">
        <x:f aca="0">A569</x:f>
        <x:v>活格板</x:v>
      </x:c>
      <x:c r="R569" s="1" t="n">
        <x:f aca="0">SUM(B569*2+C569*2)*F569</x:f>
        <x:v>0</x:v>
      </x:c>
      <x:c r="T569"/>
    </x:row>
    <x:row r="570" ht="22.200000762939453" hidden="0">
      <x:c r="A570" s="10" t="s">
        <x:v>22</x:v>
      </x:c>
      <x:c r="B570" s="10"/>
      <x:c r="C570" s="10"/>
      <x:c r="D570" s="10" t="n">
        <x:v>18</x:v>
      </x:c>
      <x:c r="E570" s="10"/>
      <x:c r="F570" s="10"/>
      <x:c r="G570" s="10"/>
      <x:c r="H570" s="10" t="n">
        <x:v>69</x:v>
      </x:c>
      <x:c r="I570" s="11" t="n">
        <x:f aca="0">ROUND((IF((B570*C570)/90000&lt;1,1))+IF((B570*C570)/90000&gt;=1,(B570*C570)/90000),1.1)</x:f>
        <x:v>1</x:v>
      </x:c>
      <x:c r="J570" s="11" t="n">
        <x:f aca="0">SUM(F570*I570)</x:f>
        <x:v>0</x:v>
      </x:c>
      <x:c r="K570" s="11" t="n">
        <x:f aca="0">SUM(H570*J570)</x:f>
        <x:v>0</x:v>
      </x:c>
      <x:c r="L570" s="11"/>
      <x:c r="M570" s="11" t="n">
        <x:f aca="0">SUM(C570-1)</x:f>
        <x:v>-1</x:v>
      </x:c>
      <x:c r="N570" s="11" t="n">
        <x:f aca="0">SUM(B570-1)</x:f>
        <x:v>-1</x:v>
      </x:c>
      <x:c r="O570" s="11" t="n">
        <x:f aca="0">SUM(F570*1)</x:f>
        <x:v>0</x:v>
      </x:c>
      <x:c r="P570" s="11"/>
      <x:c r="Q570" s="11" t="str">
        <x:f aca="0">A570</x:f>
        <x:v>活格板</x:v>
      </x:c>
      <x:c r="R570" s="1" t="n">
        <x:f aca="0">SUM(B570*2+C570*2)*F570</x:f>
        <x:v>0</x:v>
      </x:c>
      <x:c r="T570"/>
    </x:row>
    <x:row r="571" ht="22.200000762939453" hidden="0">
      <x:c r="A571" s="10" t="s">
        <x:v>22</x:v>
      </x:c>
      <x:c r="B571" s="10"/>
      <x:c r="C571" s="10"/>
      <x:c r="D571" s="10" t="n">
        <x:v>18</x:v>
      </x:c>
      <x:c r="E571" s="10"/>
      <x:c r="F571" s="10"/>
      <x:c r="G571" s="10"/>
      <x:c r="H571" s="10" t="n">
        <x:v>69</x:v>
      </x:c>
      <x:c r="I571" s="11" t="n">
        <x:f aca="0">ROUND((IF((B571*C571)/90000&lt;1,1))+IF((B571*C571)/90000&gt;=1,(B571*C571)/90000),1.1)</x:f>
        <x:v>1</x:v>
      </x:c>
      <x:c r="J571" s="11" t="n">
        <x:f aca="0">SUM(F571*I571)</x:f>
        <x:v>0</x:v>
      </x:c>
      <x:c r="K571" s="11" t="n">
        <x:f aca="0">SUM(H571*J571)</x:f>
        <x:v>0</x:v>
      </x:c>
      <x:c r="L571" s="11"/>
      <x:c r="M571" s="11" t="n">
        <x:f aca="0">SUM(C571-1)</x:f>
        <x:v>-1</x:v>
      </x:c>
      <x:c r="N571" s="11" t="n">
        <x:f aca="0">SUM(B571-1)</x:f>
        <x:v>-1</x:v>
      </x:c>
      <x:c r="O571" s="11" t="n">
        <x:f aca="0">SUM(F571*1)</x:f>
        <x:v>0</x:v>
      </x:c>
      <x:c r="P571" s="11"/>
      <x:c r="Q571" s="11" t="str">
        <x:f aca="0">A571</x:f>
        <x:v>活格板</x:v>
      </x:c>
      <x:c r="R571" s="1" t="n">
        <x:f aca="0">SUM(B571*2+C571*2)*F571</x:f>
        <x:v>0</x:v>
      </x:c>
      <x:c r="T571"/>
    </x:row>
    <x:row r="572" ht="22.200000762939453" hidden="0">
      <x:c r="A572" s="10" t="s">
        <x:v>22</x:v>
      </x:c>
      <x:c r="B572" s="10"/>
      <x:c r="C572" s="10"/>
      <x:c r="D572" s="10" t="n">
        <x:v>18</x:v>
      </x:c>
      <x:c r="E572" s="10"/>
      <x:c r="F572" s="10"/>
      <x:c r="G572" s="10"/>
      <x:c r="H572" s="10" t="n">
        <x:v>69</x:v>
      </x:c>
      <x:c r="I572" s="11" t="n">
        <x:f aca="0">ROUND((IF((B572*C572)/90000&lt;1,1))+IF((B572*C572)/90000&gt;=1,(B572*C572)/90000),1.1)</x:f>
        <x:v>1</x:v>
      </x:c>
      <x:c r="J572" s="11" t="n">
        <x:f aca="0">SUM(F572*I572)</x:f>
        <x:v>0</x:v>
      </x:c>
      <x:c r="K572" s="11" t="n">
        <x:f aca="0">SUM(H572*J572)</x:f>
        <x:v>0</x:v>
      </x:c>
      <x:c r="L572" s="11"/>
      <x:c r="M572" s="11" t="n">
        <x:f aca="0">SUM(C572-1)</x:f>
        <x:v>-1</x:v>
      </x:c>
      <x:c r="N572" s="11" t="n">
        <x:f aca="0">SUM(B572-1)</x:f>
        <x:v>-1</x:v>
      </x:c>
      <x:c r="O572" s="11" t="n">
        <x:f aca="0">SUM(F572*1)</x:f>
        <x:v>0</x:v>
      </x:c>
      <x:c r="P572" s="11"/>
      <x:c r="Q572" s="11" t="str">
        <x:f aca="0">A572</x:f>
        <x:v>活格板</x:v>
      </x:c>
      <x:c r="R572" s="1" t="n">
        <x:f aca="0">SUM(B572*2+C572*2)*F572</x:f>
        <x:v>0</x:v>
      </x:c>
      <x:c r="T572"/>
    </x:row>
    <x:row r="573" ht="22.200000762939453" hidden="0">
      <x:c r="A573" s="10" t="s">
        <x:v>23</x:v>
      </x:c>
      <x:c r="B573" s="10"/>
      <x:c r="C573" s="10"/>
      <x:c r="D573" s="10" t="n">
        <x:v>18</x:v>
      </x:c>
      <x:c r="E573" s="10"/>
      <x:c r="F573" s="10"/>
      <x:c r="G573" s="10"/>
      <x:c r="H573" s="10" t="n">
        <x:v>69</x:v>
      </x:c>
      <x:c r="I573" s="11" t="n">
        <x:f aca="0">ROUND((IF((B573*C573)/90000&lt;1,1))+IF((B573*C573)/90000&gt;=1,(B573*C573)/90000),1.1)</x:f>
        <x:v>1</x:v>
      </x:c>
      <x:c r="J573" s="11" t="n">
        <x:f aca="0">SUM(F573*I573)</x:f>
        <x:v>0</x:v>
      </x:c>
      <x:c r="K573" s="11" t="n">
        <x:f aca="0">SUM(H573*J573)</x:f>
        <x:v>0</x:v>
      </x:c>
      <x:c r="L573" s="11"/>
      <x:c r="M573" s="11" t="n">
        <x:f aca="0">SUM(C573-1)</x:f>
        <x:v>-1</x:v>
      </x:c>
      <x:c r="N573" s="11" t="n">
        <x:f aca="0">SUM(B573-1)</x:f>
        <x:v>-1</x:v>
      </x:c>
      <x:c r="O573" s="11" t="n">
        <x:f aca="0">SUM(F573*1)</x:f>
        <x:v>0</x:v>
      </x:c>
      <x:c r="P573" s="11"/>
      <x:c r="Q573" s="11" t="str">
        <x:f aca="0">A573</x:f>
        <x:v>抽框</x:v>
      </x:c>
      <x:c r="R573" s="1" t="n">
        <x:f aca="0">SUM(B573*2+C573*2)*F573</x:f>
        <x:v>0</x:v>
      </x:c>
      <x:c r="T573"/>
    </x:row>
    <x:row r="574" ht="22.200000762939453" hidden="0">
      <x:c r="A574" s="10" t="s">
        <x:v>24</x:v>
      </x:c>
      <x:c r="B574" s="10"/>
      <x:c r="C574" s="10"/>
      <x:c r="D574" s="10" t="n">
        <x:v>18</x:v>
      </x:c>
      <x:c r="E574" s="10"/>
      <x:c r="F574" s="10"/>
      <x:c r="G574" s="10"/>
      <x:c r="H574" s="10" t="n">
        <x:v>69</x:v>
      </x:c>
      <x:c r="I574" s="11" t="n">
        <x:f aca="0">ROUND((IF((B574*C574)/90000&lt;1,1))+IF((B574*C574)/90000&gt;=1,(B574*C574)/90000),1.1)</x:f>
        <x:v>1</x:v>
      </x:c>
      <x:c r="J574" s="11" t="n">
        <x:f aca="0">SUM(F574*I574)</x:f>
        <x:v>0</x:v>
      </x:c>
      <x:c r="K574" s="11" t="n">
        <x:f aca="0">SUM(H574*J574)</x:f>
        <x:v>0</x:v>
      </x:c>
      <x:c r="L574" s="11"/>
      <x:c r="M574" s="11" t="n">
        <x:f aca="0">SUM(C574-1)</x:f>
        <x:v>-1</x:v>
      </x:c>
      <x:c r="N574" s="11" t="n">
        <x:f aca="0">SUM(B574-1)</x:f>
        <x:v>-1</x:v>
      </x:c>
      <x:c r="O574" s="11" t="n">
        <x:f aca="0">SUM(F574*1)</x:f>
        <x:v>0</x:v>
      </x:c>
      <x:c r="P574" s="11"/>
      <x:c r="Q574" s="11" t="str">
        <x:f aca="0">A574</x:f>
        <x:v>框中立</x:v>
      </x:c>
      <x:c r="R574" s="1" t="n">
        <x:f aca="0">SUM(B574*2+C574*2)*F574</x:f>
        <x:v>0</x:v>
      </x:c>
      <x:c r="T574"/>
    </x:row>
    <x:row r="575" ht="22.200000762939453" hidden="0">
      <x:c r="A575" s="10" t="s">
        <x:v>25</x:v>
      </x:c>
      <x:c r="B575" s="10"/>
      <x:c r="C575" s="10"/>
      <x:c r="D575" s="10" t="n">
        <x:v>18</x:v>
      </x:c>
      <x:c r="E575" s="10"/>
      <x:c r="F575" s="10"/>
      <x:c r="G575" s="10"/>
      <x:c r="H575" s="10" t="n">
        <x:v>69</x:v>
      </x:c>
      <x:c r="I575" s="11" t="n">
        <x:f aca="0">ROUND((IF((B575*C575)/90000&lt;1,1))+IF((B575*C575)/90000&gt;=1,(B575*C575)/90000),1.1)</x:f>
        <x:v>1</x:v>
      </x:c>
      <x:c r="J575" s="11" t="n">
        <x:f aca="0">SUM(F575*I575)</x:f>
        <x:v>0</x:v>
      </x:c>
      <x:c r="K575" s="11" t="n">
        <x:f aca="0">SUM(H575*J575)</x:f>
        <x:v>0</x:v>
      </x:c>
      <x:c r="L575" s="11"/>
      <x:c r="M575" s="11" t="n">
        <x:f aca="0">SUM(C575)</x:f>
        <x:v>0</x:v>
      </x:c>
      <x:c r="N575" s="11" t="n">
        <x:f aca="0">SUM(B575-1)</x:f>
        <x:v>-1</x:v>
      </x:c>
      <x:c r="O575" s="11" t="n">
        <x:f aca="0">SUM(F575*1)</x:f>
        <x:v>0</x:v>
      </x:c>
      <x:c r="P575" s="11"/>
      <x:c r="Q575" s="11" t="str">
        <x:f aca="0">A575</x:f>
        <x:v>橫木</x:v>
      </x:c>
      <x:c r="R575" s="1" t="n">
        <x:f aca="0">SUM(C575*2)*F575</x:f>
        <x:v>0</x:v>
      </x:c>
      <x:c r="T575"/>
    </x:row>
    <x:row r="576" ht="22.200000762939453" hidden="0">
      <x:c r="A576" s="10" t="s">
        <x:v>26</x:v>
      </x:c>
      <x:c r="B576" s="10"/>
      <x:c r="C576" s="10"/>
      <x:c r="D576" s="10" t="n">
        <x:v>18</x:v>
      </x:c>
      <x:c r="E576" s="10"/>
      <x:c r="F576" s="10"/>
      <x:c r="G576" s="10"/>
      <x:c r="H576" s="10" t="n">
        <x:v>69</x:v>
      </x:c>
      <x:c r="I576" s="11" t="n">
        <x:f aca="0">ROUND((IF((B576*C576)/90000&lt;1,1))+IF((B576*C576)/90000&gt;=1,(B576*C576)/90000),1.1)</x:f>
        <x:v>1</x:v>
      </x:c>
      <x:c r="J576" s="11" t="n">
        <x:f aca="0">SUM(F576*I576)</x:f>
        <x:v>0</x:v>
      </x:c>
      <x:c r="K576" s="11" t="n">
        <x:f aca="0">SUM(H576*J576)</x:f>
        <x:v>0</x:v>
      </x:c>
      <x:c r="L576" s="11"/>
      <x:c r="M576" s="11" t="n">
        <x:f aca="0">SUM(C576)</x:f>
        <x:v>0</x:v>
      </x:c>
      <x:c r="N576" s="11" t="n">
        <x:f aca="0">SUM(B576-1)</x:f>
        <x:v>-1</x:v>
      </x:c>
      <x:c r="O576" s="11" t="n">
        <x:f aca="0">SUM(F576*1)</x:f>
        <x:v>0</x:v>
      </x:c>
      <x:c r="P576" s="11"/>
      <x:c r="Q576" s="11" t="str">
        <x:f aca="0">A576</x:f>
        <x:v>前抽牆</x:v>
      </x:c>
      <x:c r="R576" s="1" t="n">
        <x:f aca="0">SUM(C576*2)*F576</x:f>
        <x:v>0</x:v>
      </x:c>
      <x:c r="T576"/>
    </x:row>
    <x:row r="577" ht="22.200000762939453" hidden="0">
      <x:c r="A577" s="10" t="s">
        <x:v>26</x:v>
      </x:c>
      <x:c r="B577" s="10"/>
      <x:c r="C577" s="10"/>
      <x:c r="D577" s="10" t="n">
        <x:v>18</x:v>
      </x:c>
      <x:c r="E577" s="10"/>
      <x:c r="F577" s="10"/>
      <x:c r="G577" s="10"/>
      <x:c r="H577" s="10" t="n">
        <x:v>69</x:v>
      </x:c>
      <x:c r="I577" s="11" t="n">
        <x:f aca="0">ROUND((IF((B577*C577)/90000&lt;1,1))+IF((B577*C577)/90000&gt;=1,(B577*C577)/90000),1.1)</x:f>
        <x:v>1</x:v>
      </x:c>
      <x:c r="J577" s="11" t="n">
        <x:f aca="0">SUM(F577*I577)</x:f>
        <x:v>0</x:v>
      </x:c>
      <x:c r="K577" s="11" t="n">
        <x:f aca="0">SUM(H577*J577)</x:f>
        <x:v>0</x:v>
      </x:c>
      <x:c r="L577" s="11"/>
      <x:c r="M577" s="11" t="n">
        <x:f aca="0">SUM(C577)</x:f>
        <x:v>0</x:v>
      </x:c>
      <x:c r="N577" s="11" t="n">
        <x:f aca="0">SUM(B577-1)</x:f>
        <x:v>-1</x:v>
      </x:c>
      <x:c r="O577" s="11" t="n">
        <x:f aca="0">SUM(F577*1)</x:f>
        <x:v>0</x:v>
      </x:c>
      <x:c r="P577" s="11"/>
      <x:c r="Q577" s="11" t="str">
        <x:f aca="0">A577</x:f>
        <x:v>前抽牆</x:v>
      </x:c>
      <x:c r="R577" s="1" t="n">
        <x:f aca="0">SUM(C577*2)*F577</x:f>
        <x:v>0</x:v>
      </x:c>
      <x:c r="T577"/>
    </x:row>
    <x:row r="578" ht="22.200000762939453" hidden="0">
      <x:c r="A578" s="10" t="s">
        <x:v>27</x:v>
      </x:c>
      <x:c r="B578" s="10"/>
      <x:c r="C578" s="10"/>
      <x:c r="D578" s="10" t="n">
        <x:v>18</x:v>
      </x:c>
      <x:c r="E578" s="10"/>
      <x:c r="F578" s="10"/>
      <x:c r="G578" s="10"/>
      <x:c r="H578" s="10" t="n">
        <x:v>69</x:v>
      </x:c>
      <x:c r="I578" s="11" t="n">
        <x:f aca="0">ROUND((IF((B578*C578)/90000&lt;1,1))+IF((B578*C578)/90000&gt;=1,(B578*C578)/90000),1.1)</x:f>
        <x:v>1</x:v>
      </x:c>
      <x:c r="J578" s="11" t="n">
        <x:f aca="0">SUM(F578*I578)</x:f>
        <x:v>0</x:v>
      </x:c>
      <x:c r="K578" s="11" t="n">
        <x:f aca="0">SUM(H578*J578)</x:f>
        <x:v>0</x:v>
      </x:c>
      <x:c r="L578" s="11"/>
      <x:c r="M578" s="11" t="n">
        <x:f aca="0">SUM(C578)</x:f>
        <x:v>0</x:v>
      </x:c>
      <x:c r="N578" s="11" t="n">
        <x:f aca="0">SUM(B578-1)</x:f>
        <x:v>-1</x:v>
      </x:c>
      <x:c r="O578" s="11" t="n">
        <x:f aca="0">SUM(F578*1)</x:f>
        <x:v>0</x:v>
      </x:c>
      <x:c r="P578" s="11"/>
      <x:c r="Q578" s="11" t="str">
        <x:f aca="0">A578</x:f>
        <x:v>邊抽牆</x:v>
      </x:c>
      <x:c r="R578" s="1" t="n">
        <x:f aca="0">SUM(C578*2)*F578</x:f>
        <x:v>0</x:v>
      </x:c>
      <x:c r="T578"/>
    </x:row>
    <x:row r="579" ht="22.200000762939453" hidden="0">
      <x:c r="A579" s="10" t="s">
        <x:v>27</x:v>
      </x:c>
      <x:c r="B579" s="10"/>
      <x:c r="C579" s="10"/>
      <x:c r="D579" s="10" t="n">
        <x:v>18</x:v>
      </x:c>
      <x:c r="E579" s="10"/>
      <x:c r="F579" s="10"/>
      <x:c r="G579" s="10"/>
      <x:c r="H579" s="10" t="n">
        <x:v>69</x:v>
      </x:c>
      <x:c r="I579" s="11" t="n">
        <x:f aca="0">ROUND((IF((B579*C579)/90000&lt;1,1))+IF((B579*C579)/90000&gt;=1,(B579*C579)/90000),1.1)</x:f>
        <x:v>1</x:v>
      </x:c>
      <x:c r="J579" s="11" t="n">
        <x:f aca="0">SUM(F579*I579)</x:f>
        <x:v>0</x:v>
      </x:c>
      <x:c r="K579" s="11" t="n">
        <x:f aca="0">SUM(H579*J579)</x:f>
        <x:v>0</x:v>
      </x:c>
      <x:c r="L579" s="11"/>
      <x:c r="M579" s="11" t="n">
        <x:f aca="0">SUM(C579)</x:f>
        <x:v>0</x:v>
      </x:c>
      <x:c r="N579" s="11" t="n">
        <x:f aca="0">SUM(B579-1)</x:f>
        <x:v>-1</x:v>
      </x:c>
      <x:c r="O579" s="11" t="n">
        <x:f aca="0">SUM(F579*1)</x:f>
        <x:v>0</x:v>
      </x:c>
      <x:c r="P579" s="11"/>
      <x:c r="Q579" s="11" t="str">
        <x:f aca="0">A579</x:f>
        <x:v>邊抽牆</x:v>
      </x:c>
      <x:c r="R579" s="1" t="n">
        <x:f aca="0">SUM(C579*2)*F579</x:f>
        <x:v>0</x:v>
      </x:c>
      <x:c r="T579"/>
    </x:row>
    <x:row r="580" ht="22.200000762939453" hidden="0">
      <x:c r="A580" s="10" t="s">
        <x:v>28</x:v>
      </x:c>
      <x:c r="B580" s="10"/>
      <x:c r="C580" s="10"/>
      <x:c r="D580" s="10" t="n">
        <x:v>8</x:v>
      </x:c>
      <x:c r="E580" s="10"/>
      <x:c r="F580" s="10"/>
      <x:c r="G580" s="10"/>
      <x:c r="H580" s="10" t="n">
        <x:v>50</x:v>
      </x:c>
      <x:c r="I580" s="11" t="n">
        <x:f aca="0">ROUND((IF((B580*C580)/90000&lt;1,1))+IF((B580*C580)/90000&gt;=1,(B580*C580)/90000),1.1)</x:f>
        <x:v>1</x:v>
      </x:c>
      <x:c r="J580" s="11" t="n">
        <x:f aca="0">SUM(F580*I580)</x:f>
        <x:v>0</x:v>
      </x:c>
      <x:c r="K580" s="11" t="n">
        <x:f aca="0">SUM(H580*J580)</x:f>
        <x:v>0</x:v>
      </x:c>
      <x:c r="L580" s="11"/>
      <x:c r="M580" s="11" t="n">
        <x:f aca="0">SUM(C580)</x:f>
        <x:v>0</x:v>
      </x:c>
      <x:c r="N580" s="11" t="n">
        <x:f aca="0">SUM(B580)</x:f>
        <x:v>0</x:v>
      </x:c>
      <x:c r="O580" s="11" t="n">
        <x:f aca="0">SUM(F580*1)</x:f>
        <x:v>0</x:v>
      </x:c>
      <x:c r="P580" s="11"/>
      <x:c r="Q580" s="11" t="str">
        <x:f aca="0">A580</x:f>
        <x:v>抽底板</x:v>
      </x:c>
      <x:c r="T580"/>
    </x:row>
    <x:row r="581" ht="22.200000762939453" hidden="0">
      <x:c r="A581" s="10" t="s">
        <x:v>28</x:v>
      </x:c>
      <x:c r="B581" s="10"/>
      <x:c r="C581" s="10"/>
      <x:c r="D581" s="10" t="n">
        <x:v>8</x:v>
      </x:c>
      <x:c r="E581" s="10"/>
      <x:c r="F581" s="10"/>
      <x:c r="G581" s="10"/>
      <x:c r="H581" s="10" t="n">
        <x:v>50</x:v>
      </x:c>
      <x:c r="I581" s="11" t="n">
        <x:f aca="0">ROUND((IF((B581*C581)/90000&lt;1,1))+IF((B581*C581)/90000&gt;=1,(B581*C581)/90000),1.1)</x:f>
        <x:v>1</x:v>
      </x:c>
      <x:c r="J581" s="11" t="n">
        <x:f aca="0">SUM(F581*I581)</x:f>
        <x:v>0</x:v>
      </x:c>
      <x:c r="K581" s="11" t="n">
        <x:f aca="0">SUM(H581*J581)</x:f>
        <x:v>0</x:v>
      </x:c>
      <x:c r="L581" s="11"/>
      <x:c r="M581" s="11" t="n">
        <x:f aca="0">SUM(C581)</x:f>
        <x:v>0</x:v>
      </x:c>
      <x:c r="N581" s="11" t="n">
        <x:f aca="0">SUM(B581)</x:f>
        <x:v>0</x:v>
      </x:c>
      <x:c r="O581" s="11" t="n">
        <x:f aca="0">SUM(F581*1)</x:f>
        <x:v>0</x:v>
      </x:c>
      <x:c r="P581" s="11"/>
      <x:c r="Q581" s="11" t="str">
        <x:f aca="0">A581</x:f>
        <x:v>抽底板</x:v>
      </x:c>
      <x:c r="T581"/>
    </x:row>
    <x:row r="582" ht="22.200000762939453" hidden="0">
      <x:c r="A582" s="12" t="s">
        <x:v>64</x:v>
      </x:c>
      <x:c r="B582" s="10"/>
      <x:c r="C582" s="10"/>
      <x:c r="D582" s="10" t="n">
        <x:v>18</x:v>
      </x:c>
      <x:c r="E582" s="10"/>
      <x:c r="F582" s="10"/>
      <x:c r="G582" s="10"/>
      <x:c r="H582" s="10" t="n">
        <x:v>84</x:v>
      </x:c>
      <x:c r="I582" s="11" t="n">
        <x:f aca="0">ROUND((IF((B582*C582)/90000&lt;1,1))+IF((B582*C582)/90000&gt;=1,(B582*C582)/90000),1.1)</x:f>
        <x:v>1</x:v>
      </x:c>
      <x:c r="J582" s="11" t="n">
        <x:f aca="0">SUM(F582*I582)</x:f>
        <x:v>0</x:v>
      </x:c>
      <x:c r="K582" s="11" t="n">
        <x:f aca="0">SUM(H582*J582)</x:f>
        <x:v>0</x:v>
      </x:c>
      <x:c r="L582" s="11"/>
      <x:c r="M582" s="11" t="n">
        <x:f aca="0">SUM(C582-2)</x:f>
        <x:v>-2</x:v>
      </x:c>
      <x:c r="N582" s="11" t="n">
        <x:f aca="0">SUM(B582-2)</x:f>
        <x:v>-2</x:v>
      </x:c>
      <x:c r="O582" s="11" t="n">
        <x:f aca="0">SUM(F582*1)</x:f>
        <x:v>0</x:v>
      </x:c>
      <x:c r="P582" s="11"/>
      <x:c r="Q582" s="11" t="str">
        <x:f aca="0">A582</x:f>
        <x:v>4E門板</x:v>
      </x:c>
      <x:c r="S582" s="1" t="n">
        <x:f aca="0">SUM(B582*2+C582*2)*F582</x:f>
        <x:v>0</x:v>
      </x:c>
      <x:c r="T582"/>
    </x:row>
    <x:row r="583" ht="22.200000762939453" hidden="0">
      <x:c r="A583" s="12" t="s">
        <x:v>64</x:v>
      </x:c>
      <x:c r="B583" s="10"/>
      <x:c r="C583" s="10"/>
      <x:c r="D583" s="10" t="n">
        <x:v>18</x:v>
      </x:c>
      <x:c r="E583" s="10"/>
      <x:c r="F583" s="10"/>
      <x:c r="G583" s="10"/>
      <x:c r="H583" s="10" t="n">
        <x:v>84</x:v>
      </x:c>
      <x:c r="I583" s="11" t="n">
        <x:f aca="0">ROUND((IF((B583*C583)/90000&lt;1,1))+IF((B583*C583)/90000&gt;=1,(B583*C583)/90000),1.1)</x:f>
        <x:v>1</x:v>
      </x:c>
      <x:c r="J583" s="11" t="n">
        <x:f aca="0">SUM(F583*I583)</x:f>
        <x:v>0</x:v>
      </x:c>
      <x:c r="K583" s="11" t="n">
        <x:f aca="0">SUM(H583*J583)</x:f>
        <x:v>0</x:v>
      </x:c>
      <x:c r="L583" s="11"/>
      <x:c r="M583" s="11" t="n">
        <x:f aca="0">SUM(C583-2)</x:f>
        <x:v>-2</x:v>
      </x:c>
      <x:c r="N583" s="11" t="n">
        <x:f aca="0">SUM(B583-2)</x:f>
        <x:v>-2</x:v>
      </x:c>
      <x:c r="O583" s="11" t="n">
        <x:f aca="0">SUM(F583*1)</x:f>
        <x:v>0</x:v>
      </x:c>
      <x:c r="P583" s="11"/>
      <x:c r="Q583" s="11" t="str">
        <x:f aca="0">A583</x:f>
        <x:v>4E門板</x:v>
      </x:c>
      <x:c r="S583" s="1" t="n">
        <x:f aca="0">SUM(B583*2+C583*2)*F583</x:f>
        <x:v>0</x:v>
      </x:c>
      <x:c r="T583"/>
    </x:row>
    <x:row r="584" ht="22.200000762939453" hidden="0">
      <x:c r="A584" s="12" t="s">
        <x:v>64</x:v>
      </x:c>
      <x:c r="B584" s="10"/>
      <x:c r="C584" s="10"/>
      <x:c r="D584" s="10" t="n">
        <x:v>18</x:v>
      </x:c>
      <x:c r="E584" s="10"/>
      <x:c r="F584" s="10"/>
      <x:c r="G584" s="10"/>
      <x:c r="H584" s="10" t="n">
        <x:v>84</x:v>
      </x:c>
      <x:c r="I584" s="11" t="n">
        <x:f aca="0">ROUND((IF((B584*C584)/90000&lt;1,1))+IF((B584*C584)/90000&gt;=1,(B584*C584)/90000),1.1)</x:f>
        <x:v>1</x:v>
      </x:c>
      <x:c r="J584" s="11" t="n">
        <x:f aca="0">SUM(F584*I584)</x:f>
        <x:v>0</x:v>
      </x:c>
      <x:c r="K584" s="11" t="n">
        <x:f aca="0">SUM(H584*J584)</x:f>
        <x:v>0</x:v>
      </x:c>
      <x:c r="L584" s="11"/>
      <x:c r="M584" s="11" t="n">
        <x:f aca="0">SUM(C584-2)</x:f>
        <x:v>-2</x:v>
      </x:c>
      <x:c r="N584" s="11" t="n">
        <x:f aca="0">SUM(B584-2)</x:f>
        <x:v>-2</x:v>
      </x:c>
      <x:c r="O584" s="11" t="n">
        <x:f aca="0">SUM(F584*1)</x:f>
        <x:v>0</x:v>
      </x:c>
      <x:c r="P584" s="11"/>
      <x:c r="Q584" s="11" t="str">
        <x:f aca="0">A584</x:f>
        <x:v>4E門板</x:v>
      </x:c>
      <x:c r="S584" s="1" t="n">
        <x:f aca="0">SUM(B584*2+C584*2)*F584</x:f>
        <x:v>0</x:v>
      </x:c>
      <x:c r="T584"/>
    </x:row>
    <x:row r="585" ht="22.200000762939453" hidden="0">
      <x:c r="A585" s="10" t="s">
        <x:v>30</x:v>
      </x:c>
      <x:c r="B585" s="10"/>
      <x:c r="C585" s="10"/>
      <x:c r="D585" s="10" t="n">
        <x:v>18</x:v>
      </x:c>
      <x:c r="E585" s="10"/>
      <x:c r="F585" s="10"/>
      <x:c r="G585" s="10"/>
      <x:c r="H585" s="10" t="n">
        <x:v>84</x:v>
      </x:c>
      <x:c r="I585" s="11" t="n">
        <x:f aca="0">ROUND((IF((B585*C585)/90000&lt;1,1))+IF((B585*C585)/90000&gt;=1,(B585*C585)/90000),1.1)</x:f>
        <x:v>1</x:v>
      </x:c>
      <x:c r="J585" s="11" t="n">
        <x:f aca="0">SUM(F585*I585)</x:f>
        <x:v>0</x:v>
      </x:c>
      <x:c r="K585" s="11" t="n">
        <x:f aca="0">SUM(H585*J585)</x:f>
        <x:v>0</x:v>
      </x:c>
      <x:c r="L585" s="11"/>
      <x:c r="M585" s="11" t="n">
        <x:f aca="0">SUM(C585-2)</x:f>
        <x:v>-2</x:v>
      </x:c>
      <x:c r="N585" s="11" t="n">
        <x:f aca="0">SUM(B585-2)</x:f>
        <x:v>-2</x:v>
      </x:c>
      <x:c r="O585" s="11" t="n">
        <x:f aca="0">SUM(F585*1)</x:f>
        <x:v>0</x:v>
      </x:c>
      <x:c r="P585" s="11"/>
      <x:c r="Q585" s="11" t="str">
        <x:f aca="0">A585</x:f>
        <x:v>假門板</x:v>
      </x:c>
      <x:c r="S585" s="1" t="n">
        <x:f aca="0">SUM(B585*2+C585*2)*F585</x:f>
        <x:v>0</x:v>
      </x:c>
      <x:c r="T585"/>
    </x:row>
    <x:row r="586" ht="22.200000762939453" hidden="0">
      <x:c r="A586" s="10" t="s">
        <x:v>31</x:v>
      </x:c>
      <x:c r="B586" s="10"/>
      <x:c r="C586" s="10"/>
      <x:c r="D586" s="10" t="n">
        <x:v>18</x:v>
      </x:c>
      <x:c r="E586" s="10"/>
      <x:c r="F586" s="10"/>
      <x:c r="G586" s="10"/>
      <x:c r="H586" s="10" t="n">
        <x:v>84</x:v>
      </x:c>
      <x:c r="I586" s="11" t="n">
        <x:f aca="0">ROUND((IF((B586*C586)/90000&lt;1,1))+IF((B586*C586)/90000&gt;=1,(B586*C586)/90000),1.1)</x:f>
        <x:v>1</x:v>
      </x:c>
      <x:c r="J586" s="11" t="n">
        <x:f aca="0">SUM(F586*I586)</x:f>
        <x:v>0</x:v>
      </x:c>
      <x:c r="K586" s="11" t="n">
        <x:f aca="0">SUM(H586*J586)</x:f>
        <x:v>0</x:v>
      </x:c>
      <x:c r="L586" s="11"/>
      <x:c r="M586" s="11" t="n">
        <x:f aca="0">SUM(C586-2)</x:f>
        <x:v>-2</x:v>
      </x:c>
      <x:c r="N586" s="11" t="n">
        <x:f aca="0">SUM(B586-2)</x:f>
        <x:v>-2</x:v>
      </x:c>
      <x:c r="O586" s="11" t="n">
        <x:f aca="0">SUM(F586*1)</x:f>
        <x:v>0</x:v>
      </x:c>
      <x:c r="P586" s="11"/>
      <x:c r="Q586" s="11" t="str">
        <x:f aca="0">A586</x:f>
        <x:v>屜頭</x:v>
      </x:c>
      <x:c r="S586" s="1" t="n">
        <x:f aca="0">SUM(B586*2+C586*2)*F586</x:f>
        <x:v>0</x:v>
      </x:c>
      <x:c r="T586"/>
    </x:row>
    <x:row r="587" ht="22.200000762939453" hidden="0">
      <x:c r="A587" s="10" t="s">
        <x:v>32</x:v>
      </x:c>
      <x:c r="B587" s="10"/>
      <x:c r="C587" s="10"/>
      <x:c r="D587" s="10" t="n">
        <x:v>18</x:v>
      </x:c>
      <x:c r="E587" s="10"/>
      <x:c r="F587" s="10"/>
      <x:c r="G587" s="10"/>
      <x:c r="H587" s="10" t="n">
        <x:v>74</x:v>
      </x:c>
      <x:c r="I587" s="11" t="n">
        <x:f aca="0">ROUND((IF((B587*C587)/90000&lt;1,1))+IF((B587*C587)/90000&gt;=1,(B587*C587)/90000),1.1)</x:f>
        <x:v>1</x:v>
      </x:c>
      <x:c r="J587" s="11" t="n">
        <x:f aca="0">SUM(F587*I587)</x:f>
        <x:v>0</x:v>
      </x:c>
      <x:c r="K587" s="11" t="n">
        <x:f aca="0">SUM(H587*J587)</x:f>
        <x:v>0</x:v>
      </x:c>
      <x:c r="L587" s="11"/>
      <x:c r="M587" s="11" t="n">
        <x:f aca="0">SUM(C587-1)</x:f>
        <x:v>-1</x:v>
      </x:c>
      <x:c r="N587" s="11" t="n">
        <x:f aca="0">SUM(B587)</x:f>
        <x:v>0</x:v>
      </x:c>
      <x:c r="O587" s="11" t="n">
        <x:f aca="0">SUM(F587*1)</x:f>
        <x:v>0</x:v>
      </x:c>
      <x:c r="P587" s="11"/>
      <x:c r="Q587" s="11" t="str">
        <x:f aca="0">A587</x:f>
        <x:v>推門</x:v>
      </x:c>
      <x:c r="R587" s="1" t="n">
        <x:f aca="0">SUM(B587*2+C587*2)*F587</x:f>
        <x:v>0</x:v>
      </x:c>
      <x:c r="T587"/>
    </x:row>
    <x:row r="588" ht="22.200000762939453" hidden="0">
      <x:c r="A588" s="10" t="s">
        <x:v>33</x:v>
      </x:c>
      <x:c r="B588" s="10"/>
      <x:c r="C588" s="10"/>
      <x:c r="D588" s="10" t="n">
        <x:v>18</x:v>
      </x:c>
      <x:c r="E588" s="10"/>
      <x:c r="F588" s="10"/>
      <x:c r="G588" s="10"/>
      <x:c r="H588" s="10" t="n">
        <x:v>74</x:v>
      </x:c>
      <x:c r="I588" s="11" t="n">
        <x:f aca="0">ROUND((IF((B588*C588)/90000&lt;1,1))+IF((B588*C588)/90000&gt;=1,(B588*C588)/90000),1.1)</x:f>
        <x:v>1</x:v>
      </x:c>
      <x:c r="J588" s="11" t="n">
        <x:f aca="0">SUM(F588*I588)</x:f>
        <x:v>0</x:v>
      </x:c>
      <x:c r="K588" s="11" t="n">
        <x:f aca="0">SUM(H588*J588)</x:f>
        <x:v>0</x:v>
      </x:c>
      <x:c r="L588" s="11"/>
      <x:c r="M588" s="11" t="n">
        <x:f aca="0">SUM(C588)</x:f>
        <x:v>0</x:v>
      </x:c>
      <x:c r="N588" s="11" t="n">
        <x:f aca="0">SUM(B588-1)</x:f>
        <x:v>-1</x:v>
      </x:c>
      <x:c r="O588" s="11" t="n">
        <x:f aca="0">SUM(F588*1)</x:f>
        <x:v>0</x:v>
      </x:c>
      <x:c r="P588" s="11"/>
      <x:c r="Q588" s="11" t="str">
        <x:f aca="0">A588</x:f>
        <x:v>側封板</x:v>
      </x:c>
      <x:c r="R588" s="1" t="n">
        <x:f aca="0">SUM(+C588*1)*F588</x:f>
        <x:v>0</x:v>
      </x:c>
      <x:c r="S588" s="1" t="n">
        <x:f aca="0">SUM(C588*1)*F588</x:f>
        <x:v>0</x:v>
      </x:c>
      <x:c r="T588"/>
    </x:row>
    <x:row r="589" ht="22.200000762939453" hidden="0">
      <x:c r="A589" s="10" t="s">
        <x:v>33</x:v>
      </x:c>
      <x:c r="B589" s="10"/>
      <x:c r="C589" s="10"/>
      <x:c r="D589" s="10" t="n">
        <x:v>18</x:v>
      </x:c>
      <x:c r="E589" s="10"/>
      <x:c r="F589" s="10"/>
      <x:c r="G589" s="10"/>
      <x:c r="H589" s="10" t="n">
        <x:v>74</x:v>
      </x:c>
      <x:c r="I589" s="11" t="n">
        <x:f aca="0">ROUND((IF((B589*C589)/90000&lt;1,1))+IF((B589*C589)/90000&gt;=1,(B589*C589)/90000),1.1)</x:f>
        <x:v>1</x:v>
      </x:c>
      <x:c r="J589" s="11" t="n">
        <x:f aca="0">SUM(F589*I589)</x:f>
        <x:v>0</x:v>
      </x:c>
      <x:c r="K589" s="11" t="n">
        <x:f aca="0">SUM(H589*J589)</x:f>
        <x:v>0</x:v>
      </x:c>
      <x:c r="L589" s="11"/>
      <x:c r="M589" s="11" t="n">
        <x:f aca="0">SUM(C589)</x:f>
        <x:v>0</x:v>
      </x:c>
      <x:c r="N589" s="11" t="n">
        <x:f aca="0">SUM(B589-1)</x:f>
        <x:v>-1</x:v>
      </x:c>
      <x:c r="O589" s="11" t="n">
        <x:f aca="0">SUM(F589*1)</x:f>
        <x:v>0</x:v>
      </x:c>
      <x:c r="P589" s="11"/>
      <x:c r="Q589" s="11" t="str">
        <x:f aca="0">A589</x:f>
        <x:v>側封板</x:v>
      </x:c>
      <x:c r="R589" s="1" t="n">
        <x:f aca="0">SUM(+C589*1)*F589</x:f>
        <x:v>0</x:v>
      </x:c>
      <x:c r="S589" s="1" t="n">
        <x:f aca="0">SUM(C589*1)*F589</x:f>
        <x:v>0</x:v>
      </x:c>
      <x:c r="T589"/>
    </x:row>
    <x:row r="590" ht="22.200000762939453" hidden="0">
      <x:c r="A590" s="10" t="s">
        <x:v>34</x:v>
      </x:c>
      <x:c r="B590" s="10"/>
      <x:c r="C590" s="10"/>
      <x:c r="D590" s="10" t="n">
        <x:v>18</x:v>
      </x:c>
      <x:c r="E590" s="10"/>
      <x:c r="F590" s="10"/>
      <x:c r="G590" s="10"/>
      <x:c r="H590" s="10" t="n">
        <x:v>74</x:v>
      </x:c>
      <x:c r="I590" s="11" t="n">
        <x:f aca="0">ROUND((IF((B590*C590)/90000&lt;1,1))+IF((B590*C590)/90000&gt;=1,(B590*C590)/90000),1.1)</x:f>
        <x:v>1</x:v>
      </x:c>
      <x:c r="J590" s="11" t="n">
        <x:f aca="0">SUM(F590*I590)</x:f>
        <x:v>0</x:v>
      </x:c>
      <x:c r="K590" s="11" t="n">
        <x:f aca="0">SUM(H590*J590)</x:f>
        <x:v>0</x:v>
      </x:c>
      <x:c r="L590" s="11"/>
      <x:c r="M590" s="11" t="n">
        <x:f aca="0">SUM(C590)</x:f>
        <x:v>0</x:v>
      </x:c>
      <x:c r="N590" s="11" t="n">
        <x:f aca="0">SUM(B590-1)</x:f>
        <x:v>-1</x:v>
      </x:c>
      <x:c r="O590" s="11" t="n">
        <x:f aca="0">SUM(F590*1)</x:f>
        <x:v>0</x:v>
      </x:c>
      <x:c r="P590" s="11"/>
      <x:c r="Q590" s="11" t="str">
        <x:f aca="0">A590</x:f>
        <x:v>軌道板</x:v>
      </x:c>
      <x:c r="R590" s="1" t="n">
        <x:f aca="0">SUM(+C590*1)*F590</x:f>
        <x:v>0</x:v>
      </x:c>
      <x:c r="S590" s="1" t="n">
        <x:f aca="0">SUM(C590*1)*F590</x:f>
        <x:v>0</x:v>
      </x:c>
      <x:c r="T590"/>
    </x:row>
    <x:row r="591" ht="22.200000762939453" hidden="0">
      <x:c r="A591" s="10" t="s">
        <x:v>34</x:v>
      </x:c>
      <x:c r="B591" s="10"/>
      <x:c r="C591" s="10"/>
      <x:c r="D591" s="10" t="n">
        <x:v>18</x:v>
      </x:c>
      <x:c r="E591" s="10"/>
      <x:c r="F591" s="10"/>
      <x:c r="G591" s="10"/>
      <x:c r="H591" s="10" t="n">
        <x:v>74</x:v>
      </x:c>
      <x:c r="I591" s="11" t="n">
        <x:f aca="0">ROUND((IF((B591*C591)/90000&lt;1,1))+IF((B591*C591)/90000&gt;=1,(B591*C591)/90000),1.1)</x:f>
        <x:v>1</x:v>
      </x:c>
      <x:c r="J591" s="11" t="n">
        <x:f aca="0">SUM(F591*I591)</x:f>
        <x:v>0</x:v>
      </x:c>
      <x:c r="K591" s="11" t="n">
        <x:f aca="0">SUM(H591*J591)</x:f>
        <x:v>0</x:v>
      </x:c>
      <x:c r="L591" s="11"/>
      <x:c r="M591" s="11" t="n">
        <x:f aca="0">SUM(C591)</x:f>
        <x:v>0</x:v>
      </x:c>
      <x:c r="N591" s="11" t="n">
        <x:f aca="0">SUM(B591-1)</x:f>
        <x:v>-1</x:v>
      </x:c>
      <x:c r="O591" s="11" t="n">
        <x:f aca="0">SUM(F591*1)</x:f>
        <x:v>0</x:v>
      </x:c>
      <x:c r="P591" s="11"/>
      <x:c r="Q591" s="11" t="str">
        <x:f aca="0">A591</x:f>
        <x:v>軌道板</x:v>
      </x:c>
      <x:c r="R591" s="1" t="n">
        <x:f aca="0">SUM(+C591*1)*F591</x:f>
        <x:v>0</x:v>
      </x:c>
      <x:c r="S591" s="1" t="n">
        <x:f aca="0">SUM(C591*1)*F591</x:f>
        <x:v>0</x:v>
      </x:c>
      <x:c r="T591"/>
    </x:row>
    <x:row r="592" ht="22.200000762939453" hidden="0">
      <x:c r="A592" s="10" t="s">
        <x:v>35</x:v>
      </x:c>
      <x:c r="B592" s="10"/>
      <x:c r="C592" s="10"/>
      <x:c r="D592" s="10" t="n">
        <x:v>18</x:v>
      </x:c>
      <x:c r="E592" s="10"/>
      <x:c r="F592" s="10"/>
      <x:c r="G592" s="10"/>
      <x:c r="H592" s="10" t="n">
        <x:v>69</x:v>
      </x:c>
      <x:c r="I592" s="11" t="n">
        <x:f aca="0">ROUND((IF((B592*C592)/90000&lt;1,1))+IF((B592*C592)/90000&gt;=1,(B592*C592)/90000),1.1)</x:f>
        <x:v>1</x:v>
      </x:c>
      <x:c r="J592" s="11" t="n">
        <x:f aca="0">SUM(F592*I592)</x:f>
        <x:v>0</x:v>
      </x:c>
      <x:c r="K592" s="11" t="n">
        <x:f aca="0">SUM(H592*J592)</x:f>
        <x:v>0</x:v>
      </x:c>
      <x:c r="L592" s="11"/>
      <x:c r="M592" s="11" t="n">
        <x:f aca="0">SUM(C592)</x:f>
        <x:v>0</x:v>
      </x:c>
      <x:c r="N592" s="11" t="n">
        <x:f aca="0">SUM(B592-1)</x:f>
        <x:v>-1</x:v>
      </x:c>
      <x:c r="O592" s="11" t="n">
        <x:f aca="0">SUM(F592*1)</x:f>
        <x:v>0</x:v>
      </x:c>
      <x:c r="P592" s="11"/>
      <x:c r="Q592" s="11" t="str">
        <x:f aca="0">A592</x:f>
        <x:v>擋板</x:v>
      </x:c>
      <x:c r="R592" s="1" t="n">
        <x:f aca="0">SUM(C592*2)*F592</x:f>
        <x:v>0</x:v>
      </x:c>
      <x:c r="T592"/>
    </x:row>
    <x:row r="593" ht="22.200000762939453" hidden="0">
      <x:c r="A593" s="10" t="s">
        <x:v>35</x:v>
      </x:c>
      <x:c r="B593" s="10"/>
      <x:c r="C593" s="10"/>
      <x:c r="D593" s="10" t="n">
        <x:v>18</x:v>
      </x:c>
      <x:c r="E593" s="10"/>
      <x:c r="F593" s="10"/>
      <x:c r="G593" s="10"/>
      <x:c r="H593" s="10" t="n">
        <x:v>69</x:v>
      </x:c>
      <x:c r="I593" s="11" t="n">
        <x:f aca="0">ROUND((IF((B593*C593)/90000&lt;1,1))+IF((B593*C593)/90000&gt;=1,(B593*C593)/90000),1.1)</x:f>
        <x:v>1</x:v>
      </x:c>
      <x:c r="J593" s="11" t="n">
        <x:f aca="0">SUM(F593*I593)</x:f>
        <x:v>0</x:v>
      </x:c>
      <x:c r="K593" s="11" t="n">
        <x:f aca="0">SUM(H593*J593)</x:f>
        <x:v>0</x:v>
      </x:c>
      <x:c r="L593" s="11"/>
      <x:c r="M593" s="11" t="n">
        <x:f aca="0">SUM(C593)</x:f>
        <x:v>0</x:v>
      </x:c>
      <x:c r="N593" s="11" t="n">
        <x:f aca="0">SUM(B593-1)</x:f>
        <x:v>-1</x:v>
      </x:c>
      <x:c r="O593" s="11" t="n">
        <x:f aca="0">SUM(F593*1)</x:f>
        <x:v>0</x:v>
      </x:c>
      <x:c r="P593" s="11"/>
      <x:c r="Q593" s="11" t="str">
        <x:f aca="0">A593</x:f>
        <x:v>擋板</x:v>
      </x:c>
      <x:c r="R593" s="1" t="n">
        <x:f aca="0">SUM(C593*2)*F593</x:f>
        <x:v>0</x:v>
      </x:c>
      <x:c r="T593"/>
    </x:row>
    <x:row r="594" ht="22.200000762939453" hidden="0">
      <x:c r="A594" s="10" t="s">
        <x:v>36</x:v>
      </x:c>
      <x:c r="B594" s="10"/>
      <x:c r="C594" s="10"/>
      <x:c r="D594" s="10" t="n">
        <x:v>8</x:v>
      </x:c>
      <x:c r="E594" s="10"/>
      <x:c r="F594" s="10"/>
      <x:c r="G594" s="10"/>
      <x:c r="H594" s="10" t="n">
        <x:v>69</x:v>
      </x:c>
      <x:c r="I594" s="11" t="n">
        <x:f aca="0">ROUND((IF((B594*C594)/90000&lt;1,1))+IF((B594*C594)/90000&gt;=1,(B594*C594)/90000),1.1)</x:f>
        <x:v>1</x:v>
      </x:c>
      <x:c r="J594" s="11" t="n">
        <x:f aca="0">SUM(F594*I594)</x:f>
        <x:v>0</x:v>
      </x:c>
      <x:c r="K594" s="11" t="n">
        <x:f aca="0">SUM(H594*J594)</x:f>
        <x:v>0</x:v>
      </x:c>
      <x:c r="L594" s="11"/>
      <x:c r="M594" s="11" t="n">
        <x:f aca="0">SUM(C594)</x:f>
        <x:v>0</x:v>
      </x:c>
      <x:c r="N594" s="11" t="n">
        <x:f aca="0">SUM(B594-1)</x:f>
        <x:v>-1</x:v>
      </x:c>
      <x:c r="O594" s="11" t="n">
        <x:f aca="0">SUM(F594*1)</x:f>
        <x:v>0</x:v>
      </x:c>
      <x:c r="P594" s="11"/>
      <x:c r="Q594" s="11" t="str">
        <x:f aca="0">A594</x:f>
        <x:v>襯板</x:v>
      </x:c>
      <x:c r="R594" s="1" t="n">
        <x:f aca="0">SUM(C594*2)*F594</x:f>
        <x:v>0</x:v>
      </x:c>
      <x:c r="T594"/>
    </x:row>
    <x:row r="595" ht="22.200000762939453" hidden="0">
      <x:c r="A595" s="10" t="s">
        <x:v>36</x:v>
      </x:c>
      <x:c r="B595" s="10"/>
      <x:c r="C595" s="10"/>
      <x:c r="D595" s="10" t="n">
        <x:v>8</x:v>
      </x:c>
      <x:c r="E595" s="10"/>
      <x:c r="F595" s="10"/>
      <x:c r="G595" s="10"/>
      <x:c r="H595" s="10" t="n">
        <x:v>69</x:v>
      </x:c>
      <x:c r="I595" s="11" t="n">
        <x:f aca="0">ROUND((IF((B595*C595)/90000&lt;1,1))+IF((B595*C595)/90000&gt;=1,(B595*C595)/90000),1.1)</x:f>
        <x:v>1</x:v>
      </x:c>
      <x:c r="J595" s="11" t="n">
        <x:f aca="0">SUM(F595*I595)</x:f>
        <x:v>0</x:v>
      </x:c>
      <x:c r="K595" s="11" t="n">
        <x:f aca="0">SUM(H595*J595)</x:f>
        <x:v>0</x:v>
      </x:c>
      <x:c r="L595" s="11"/>
      <x:c r="M595" s="11" t="n">
        <x:f aca="0">SUM(C595)</x:f>
        <x:v>0</x:v>
      </x:c>
      <x:c r="N595" s="11" t="n">
        <x:f aca="0">SUM(B595-1)</x:f>
        <x:v>-1</x:v>
      </x:c>
      <x:c r="O595" s="11" t="n">
        <x:f aca="0">SUM(F595*1)</x:f>
        <x:v>0</x:v>
      </x:c>
      <x:c r="P595" s="11"/>
      <x:c r="Q595" s="11" t="str">
        <x:f aca="0">A595</x:f>
        <x:v>襯板</x:v>
      </x:c>
      <x:c r="R595" s="1" t="n">
        <x:f aca="0">SUM(C595*2)*F595</x:f>
        <x:v>0</x:v>
      </x:c>
      <x:c r="T595"/>
    </x:row>
    <x:row r="596" ht="22.200000762939453" hidden="0">
      <x:c r="A596" s="10" t="s">
        <x:v>37</x:v>
      </x:c>
      <x:c r="B596" s="10"/>
      <x:c r="C596" s="10"/>
      <x:c r="D596" s="10" t="n">
        <x:v>8</x:v>
      </x:c>
      <x:c r="E596" s="10"/>
      <x:c r="F596" s="10"/>
      <x:c r="G596" s="10"/>
      <x:c r="H596" s="10" t="n">
        <x:v>50</x:v>
      </x:c>
      <x:c r="I596" s="11" t="n">
        <x:f aca="0">ROUND((IF((B596*C596)/90000&lt;1,1))+IF((B596*C596)/90000&gt;=1,(B596*C596)/90000),1.1)</x:f>
        <x:v>1</x:v>
      </x:c>
      <x:c r="J596" s="11" t="n">
        <x:f aca="0">SUM(F596*I596)</x:f>
        <x:v>0</x:v>
      </x:c>
      <x:c r="K596" s="11" t="n">
        <x:f aca="0">SUM(H596*J596)</x:f>
        <x:v>0</x:v>
      </x:c>
      <x:c r="L596" s="11"/>
      <x:c r="M596" s="11" t="n">
        <x:f aca="0">SUM(C596)</x:f>
        <x:v>0</x:v>
      </x:c>
      <x:c r="N596" s="11" t="n">
        <x:f aca="0">SUM(B596)</x:f>
        <x:v>0</x:v>
      </x:c>
      <x:c r="O596" s="11" t="n">
        <x:f aca="0">SUM(F596*1)</x:f>
        <x:v>0</x:v>
      </x:c>
      <x:c r="P596" s="11"/>
      <x:c r="Q596" s="11" t="str">
        <x:f aca="0">A596</x:f>
        <x:v>背板</x:v>
      </x:c>
      <x:c r="T596"/>
    </x:row>
    <x:row r="597" ht="22.200000762939453" hidden="0">
      <x:c r="A597" s="10" t="s">
        <x:v>37</x:v>
      </x:c>
      <x:c r="B597" s="10"/>
      <x:c r="C597" s="10"/>
      <x:c r="D597" s="10" t="n">
        <x:v>8</x:v>
      </x:c>
      <x:c r="E597" s="10"/>
      <x:c r="F597" s="10"/>
      <x:c r="G597" s="10"/>
      <x:c r="H597" s="10" t="n">
        <x:v>50</x:v>
      </x:c>
      <x:c r="I597" s="11" t="n">
        <x:f aca="0">ROUND((IF((B597*C597)/90000&lt;1,1))+IF((B597*C597)/90000&gt;=1,(B597*C597)/90000),1.1)</x:f>
        <x:v>1</x:v>
      </x:c>
      <x:c r="J597" s="11" t="n">
        <x:f aca="0">SUM(F597*I597)</x:f>
        <x:v>0</x:v>
      </x:c>
      <x:c r="K597" s="11" t="n">
        <x:f aca="0">SUM(H597*J597)</x:f>
        <x:v>0</x:v>
      </x:c>
      <x:c r="L597" s="11"/>
      <x:c r="M597" s="11" t="n">
        <x:f aca="0">SUM(C597)</x:f>
        <x:v>0</x:v>
      </x:c>
      <x:c r="N597" s="11" t="n">
        <x:f aca="0">SUM(B597)</x:f>
        <x:v>0</x:v>
      </x:c>
      <x:c r="O597" s="11" t="n">
        <x:f aca="0">SUM(F597*1)</x:f>
        <x:v>0</x:v>
      </x:c>
      <x:c r="P597" s="11"/>
      <x:c r="Q597" s="11" t="str">
        <x:f aca="0">A597</x:f>
        <x:v>背板</x:v>
      </x:c>
      <x:c r="T597"/>
    </x:row>
    <x:row r="598" ht="22.200000762939453" hidden="0">
      <x:c r="A598" s="10" t="s">
        <x:v>37</x:v>
      </x:c>
      <x:c r="B598" s="10"/>
      <x:c r="C598" s="10"/>
      <x:c r="D598" s="10" t="n">
        <x:v>8</x:v>
      </x:c>
      <x:c r="E598" s="10"/>
      <x:c r="F598" s="10"/>
      <x:c r="G598" s="10"/>
      <x:c r="H598" s="10" t="n">
        <x:v>50</x:v>
      </x:c>
      <x:c r="I598" s="11" t="n">
        <x:f aca="0">ROUND((IF((B598*C598)/90000&lt;1,1))+IF((B598*C598)/90000&gt;=1,(B598*C598)/90000),1.1)</x:f>
        <x:v>1</x:v>
      </x:c>
      <x:c r="J598" s="11" t="n">
        <x:f aca="0">SUM(F598*I598)</x:f>
        <x:v>0</x:v>
      </x:c>
      <x:c r="K598" s="11" t="n">
        <x:f aca="0">SUM(H598*J598)</x:f>
        <x:v>0</x:v>
      </x:c>
      <x:c r="L598" s="11"/>
      <x:c r="M598" s="11" t="n">
        <x:f aca="0">SUM(C598)</x:f>
        <x:v>0</x:v>
      </x:c>
      <x:c r="N598" s="11" t="n">
        <x:f aca="0">SUM(B598)</x:f>
        <x:v>0</x:v>
      </x:c>
      <x:c r="O598" s="11" t="n">
        <x:f aca="0">SUM(F598*1)</x:f>
        <x:v>0</x:v>
      </x:c>
      <x:c r="P598" s="11"/>
      <x:c r="Q598" s="11" t="str">
        <x:f aca="0">A598</x:f>
        <x:v>背板</x:v>
      </x:c>
      <x:c r="T598"/>
    </x:row>
    <x:row r="599" ht="22.200000762939453" hidden="0">
      <x:c r="A599" s="10" t="s">
        <x:v>37</x:v>
      </x:c>
      <x:c r="B599" s="10"/>
      <x:c r="C599" s="10"/>
      <x:c r="D599" s="10" t="n">
        <x:v>8</x:v>
      </x:c>
      <x:c r="E599" s="10"/>
      <x:c r="F599" s="10"/>
      <x:c r="G599" s="10"/>
      <x:c r="H599" s="10" t="n">
        <x:v>50</x:v>
      </x:c>
      <x:c r="I599" s="11" t="n">
        <x:f aca="0">ROUND((IF((B599*C599)/90000&lt;1,1))+IF((B599*C599)/90000&gt;=1,(B599*C599)/90000),1.1)</x:f>
        <x:v>1</x:v>
      </x:c>
      <x:c r="J599" s="11" t="n">
        <x:f aca="0">SUM(F599*I599)</x:f>
        <x:v>0</x:v>
      </x:c>
      <x:c r="K599" s="11" t="n">
        <x:f aca="0">SUM(H599*J599)</x:f>
        <x:v>0</x:v>
      </x:c>
      <x:c r="L599" s="11"/>
      <x:c r="M599" s="11" t="n">
        <x:f aca="0">SUM(C599)</x:f>
        <x:v>0</x:v>
      </x:c>
      <x:c r="N599" s="11" t="n">
        <x:f aca="0">SUM(B599)</x:f>
        <x:v>0</x:v>
      </x:c>
      <x:c r="O599" s="11" t="n">
        <x:f aca="0">SUM(F599*1)</x:f>
        <x:v>0</x:v>
      </x:c>
      <x:c r="P599" s="11"/>
      <x:c r="Q599" s="11" t="str">
        <x:f aca="0">A599</x:f>
        <x:v>背板</x:v>
      </x:c>
      <x:c r="T599"/>
    </x:row>
    <x:row r="600" ht="22.200000762939453" hidden="0">
      <x:c r="A600" s="10" t="s">
        <x:v>37</x:v>
      </x:c>
      <x:c r="B600" s="10"/>
      <x:c r="C600" s="10"/>
      <x:c r="D600" s="10" t="n">
        <x:v>8</x:v>
      </x:c>
      <x:c r="E600" s="10"/>
      <x:c r="F600" s="10"/>
      <x:c r="G600" s="10"/>
      <x:c r="H600" s="10" t="n">
        <x:v>50</x:v>
      </x:c>
      <x:c r="I600" s="11" t="n">
        <x:f aca="0">ROUND((IF((B600*C600)/90000&lt;1,1))+IF((B600*C600)/90000&gt;=1,(B600*C600)/90000),1.1)</x:f>
        <x:v>1</x:v>
      </x:c>
      <x:c r="J600" s="11" t="n">
        <x:f aca="0">SUM(F600*I600)</x:f>
        <x:v>0</x:v>
      </x:c>
      <x:c r="K600" s="11" t="n">
        <x:f aca="0">SUM(H600*J600)</x:f>
        <x:v>0</x:v>
      </x:c>
      <x:c r="L600" s="11"/>
      <x:c r="M600" s="11" t="n">
        <x:f aca="0">SUM(C600)</x:f>
        <x:v>0</x:v>
      </x:c>
      <x:c r="N600" s="11" t="n">
        <x:f aca="0">SUM(B600)</x:f>
        <x:v>0</x:v>
      </x:c>
      <x:c r="O600" s="11" t="n">
        <x:f aca="0">SUM(F600*1)</x:f>
        <x:v>0</x:v>
      </x:c>
      <x:c r="P600" s="11"/>
      <x:c r="Q600" s="11" t="str">
        <x:f aca="0">A600</x:f>
        <x:v>背板</x:v>
      </x:c>
      <x:c r="T600"/>
    </x:row>
    <x:row r="601" ht="22.200000762939453" hidden="0">
      <x:c r="A601" s="10" t="s">
        <x:v>38</x:v>
      </x:c>
      <x:c r="B601" s="10"/>
      <x:c r="C601" s="10"/>
      <x:c r="D601" s="10" t="n">
        <x:v>18</x:v>
      </x:c>
      <x:c r="E601" s="10"/>
      <x:c r="F601" s="10"/>
      <x:c r="G601" s="10"/>
      <x:c r="H601" s="10" t="n">
        <x:v>50</x:v>
      </x:c>
      <x:c r="I601" s="11" t="n">
        <x:f aca="0">ROUND((IF((B601*C601)/90000&lt;1,1))+IF((B601*C601)/90000&gt;=1,(B601*C601)/90000),1.1)</x:f>
        <x:v>1</x:v>
      </x:c>
      <x:c r="J601" s="11" t="n">
        <x:f aca="0">SUM(F601*I601)</x:f>
        <x:v>0</x:v>
      </x:c>
      <x:c r="K601" s="11" t="n">
        <x:f aca="0">SUM(H601*J601)</x:f>
        <x:v>0</x:v>
      </x:c>
      <x:c r="L601" s="11"/>
      <x:c r="M601" s="11" t="n">
        <x:f aca="0">SUM(C601)</x:f>
        <x:v>0</x:v>
      </x:c>
      <x:c r="N601" s="11" t="n">
        <x:f aca="0">SUM(B601)</x:f>
        <x:v>0</x:v>
      </x:c>
      <x:c r="O601" s="11" t="n">
        <x:f aca="0">SUM(F601*1)</x:f>
        <x:v>0</x:v>
      </x:c>
      <x:c r="P601" s="11"/>
      <x:c r="Q601" s="11" t="str">
        <x:f aca="0">A601</x:f>
        <x:v>踢腳板</x:v>
      </x:c>
      <x:c r="R601" s="1" t="n">
        <x:f aca="0">SUM(C601*1)*F601</x:f>
        <x:v>0</x:v>
      </x:c>
      <x:c r="T601"/>
    </x:row>
    <x:row r="602" ht="22.200000762939453" hidden="0">
      <x:c r="A602" s="10" t="s">
        <x:v>39</x:v>
      </x:c>
      <x:c r="B602" s="10"/>
      <x:c r="C602" s="10"/>
      <x:c r="D602" s="10" t="n">
        <x:v>25</x:v>
      </x:c>
      <x:c r="E602" s="10"/>
      <x:c r="F602" s="10"/>
      <x:c r="G602" s="10"/>
      <x:c r="H602" s="10" t="n">
        <x:v>126</x:v>
      </x:c>
      <x:c r="I602" s="11" t="n">
        <x:f aca="0">ROUND((IF((B602*C602)/90000&lt;1,1))+IF((B602*C602)/90000&gt;=1,(B602*C602)/90000),1.1)</x:f>
        <x:v>1</x:v>
      </x:c>
      <x:c r="J602" s="11" t="n">
        <x:f aca="0">SUM(F602*I602)</x:f>
        <x:v>0</x:v>
      </x:c>
      <x:c r="K602" s="11" t="n">
        <x:f aca="0">SUM(H602*J602)</x:f>
        <x:v>0</x:v>
      </x:c>
      <x:c r="L602" s="11"/>
      <x:c r="M602" s="11" t="n">
        <x:f aca="0">SUM(C602)</x:f>
        <x:v>0</x:v>
      </x:c>
      <x:c r="N602" s="11" t="n">
        <x:f aca="0">SUM(B602-1)</x:f>
        <x:v>-1</x:v>
      </x:c>
      <x:c r="O602" s="11" t="n">
        <x:f aca="0">SUM(F602*1)</x:f>
        <x:v>0</x:v>
      </x:c>
      <x:c r="P602" s="11"/>
      <x:c r="Q602" s="11" t="str">
        <x:f aca="0">A602</x:f>
        <x:v>檯面</x:v>
      </x:c>
      <x:c r="S602" s="1" t="n">
        <x:f aca="0">SUM(B602*2+C602*1)*F602</x:f>
        <x:v>0</x:v>
      </x:c>
      <x:c r="T602"/>
    </x:row>
    <x:row r="603" ht="22.200000762939453" hidden="0">
      <x:c r="A603" s="10" t="s">
        <x:v>40</x:v>
      </x:c>
      <x:c r="B603" s="10"/>
      <x:c r="C603" s="10"/>
      <x:c r="D603" s="10" t="n">
        <x:v>18</x:v>
      </x:c>
      <x:c r="E603" s="10"/>
      <x:c r="F603" s="10"/>
      <x:c r="G603" s="10"/>
      <x:c r="H603" s="10" t="n">
        <x:v>65</x:v>
      </x:c>
      <x:c r="I603" s="11" t="n">
        <x:f aca="0">ROUND((IF((B603*C603)/90000&lt;1,1))+IF((B603*C603)/90000&gt;=1,(B603*C603)/90000),1.1)</x:f>
        <x:v>1</x:v>
      </x:c>
      <x:c r="J603" s="11" t="n">
        <x:f aca="0">SUM(F603*I603)</x:f>
        <x:v>0</x:v>
      </x:c>
      <x:c r="K603" s="11" t="n">
        <x:f aca="0">SUM(H603*J603)</x:f>
        <x:v>0</x:v>
      </x:c>
      <x:c r="L603" s="11"/>
      <x:c r="M603" s="11" t="n">
        <x:f aca="0">SUM(C603)</x:f>
        <x:v>0</x:v>
      </x:c>
      <x:c r="N603" s="11" t="n">
        <x:f aca="0">SUM(B603)</x:f>
        <x:v>0</x:v>
      </x:c>
      <x:c r="O603" s="11" t="n">
        <x:f aca="0">SUM(F603*1)</x:f>
        <x:v>0</x:v>
      </x:c>
      <x:c r="P603" s="11"/>
      <x:c r="Q603" s="11" t="str">
        <x:f aca="0">A603</x:f>
        <x:v>背條</x:v>
      </x:c>
      <x:c r="T603"/>
    </x:row>
    <x:row r="604" ht="22.200000762939453" hidden="0">
      <x:c r="A604" s="10" t="s">
        <x:v>40</x:v>
      </x:c>
      <x:c r="B604" s="10"/>
      <x:c r="C604" s="10"/>
      <x:c r="D604" s="10" t="n">
        <x:v>18</x:v>
      </x:c>
      <x:c r="E604" s="10"/>
      <x:c r="F604" s="10"/>
      <x:c r="G604" s="10"/>
      <x:c r="H604" s="10" t="n">
        <x:v>65</x:v>
      </x:c>
      <x:c r="I604" s="11" t="n">
        <x:f aca="0">ROUND((IF((B604*C604)/90000&lt;1,1))+IF((B604*C604)/90000&gt;=1,(B604*C604)/90000),1.1)</x:f>
        <x:v>1</x:v>
      </x:c>
      <x:c r="J604" s="11" t="n">
        <x:f aca="0">SUM(F604*I604)</x:f>
        <x:v>0</x:v>
      </x:c>
      <x:c r="K604" s="11" t="n">
        <x:f aca="0">SUM(H604*J604)</x:f>
        <x:v>0</x:v>
      </x:c>
      <x:c r="L604" s="11"/>
      <x:c r="M604" s="11" t="n">
        <x:f aca="0">SUM(C604)</x:f>
        <x:v>0</x:v>
      </x:c>
      <x:c r="N604" s="11" t="n">
        <x:f aca="0">SUM(B604)</x:f>
        <x:v>0</x:v>
      </x:c>
      <x:c r="O604" s="11" t="n">
        <x:f aca="0">SUM(F604*1)</x:f>
        <x:v>0</x:v>
      </x:c>
      <x:c r="P604" s="11"/>
      <x:c r="Q604" s="11" t="str">
        <x:f aca="0">A604</x:f>
        <x:v>背條</x:v>
      </x:c>
      <x:c r="T604"/>
    </x:row>
    <x:row r="605" ht="22.200000762939453" hidden="0">
      <x:c r="A605" s="10" t="s">
        <x:v>40</x:v>
      </x:c>
      <x:c r="B605" s="10"/>
      <x:c r="C605" s="10"/>
      <x:c r="D605" s="10" t="n">
        <x:v>18</x:v>
      </x:c>
      <x:c r="E605" s="10"/>
      <x:c r="F605" s="10"/>
      <x:c r="G605" s="10"/>
      <x:c r="H605" s="10" t="n">
        <x:v>65</x:v>
      </x:c>
      <x:c r="I605" s="11" t="n">
        <x:f aca="0">ROUND((IF((B605*C605)/90000&lt;1,1))+IF((B605*C605)/90000&gt;=1,(B605*C605)/90000),1.1)</x:f>
        <x:v>1</x:v>
      </x:c>
      <x:c r="J605" s="11" t="n">
        <x:f aca="0">SUM(F605*I605)</x:f>
        <x:v>0</x:v>
      </x:c>
      <x:c r="K605" s="11" t="n">
        <x:f aca="0">SUM(H605*J605)</x:f>
        <x:v>0</x:v>
      </x:c>
      <x:c r="L605" s="11"/>
      <x:c r="M605" s="11" t="n">
        <x:f aca="0">SUM(C605)</x:f>
        <x:v>0</x:v>
      </x:c>
      <x:c r="N605" s="11" t="n">
        <x:f aca="0">SUM(B605)</x:f>
        <x:v>0</x:v>
      </x:c>
      <x:c r="O605" s="11" t="n">
        <x:f aca="0">SUM(F605*1)</x:f>
        <x:v>0</x:v>
      </x:c>
      <x:c r="P605" s="11"/>
      <x:c r="Q605" s="11" t="str">
        <x:f aca="0">A605</x:f>
        <x:v>背條</x:v>
      </x:c>
      <x:c r="T605"/>
    </x:row>
    <x:row r="606" ht="22.200000762939453" hidden="0">
      <x:c r="A606" s="10" t="s">
        <x:v>40</x:v>
      </x:c>
      <x:c r="B606" s="10"/>
      <x:c r="C606" s="10"/>
      <x:c r="D606" s="10" t="n">
        <x:v>18</x:v>
      </x:c>
      <x:c r="E606" s="10"/>
      <x:c r="F606" s="10"/>
      <x:c r="G606" s="10"/>
      <x:c r="H606" s="10" t="n">
        <x:v>65</x:v>
      </x:c>
      <x:c r="I606" s="11" t="n">
        <x:f aca="0">ROUND((IF((B606*C606)/90000&lt;1,1))+IF((B606*C606)/90000&gt;=1,(B606*C606)/90000),1.1)</x:f>
        <x:v>1</x:v>
      </x:c>
      <x:c r="J606" s="11" t="n">
        <x:f aca="0">SUM(F606*I606)</x:f>
        <x:v>0</x:v>
      </x:c>
      <x:c r="K606" s="11" t="n">
        <x:f aca="0">SUM(H606*J606)</x:f>
        <x:v>0</x:v>
      </x:c>
      <x:c r="L606" s="11"/>
      <x:c r="M606" s="11" t="n">
        <x:f aca="0">SUM(C606)</x:f>
        <x:v>0</x:v>
      </x:c>
      <x:c r="N606" s="11" t="n">
        <x:f aca="0">SUM(B606)</x:f>
        <x:v>0</x:v>
      </x:c>
      <x:c r="O606" s="11" t="n">
        <x:f aca="0">SUM(F606*1)</x:f>
        <x:v>0</x:v>
      </x:c>
      <x:c r="P606" s="11"/>
      <x:c r="Q606" s="11" t="str">
        <x:f aca="0">A606</x:f>
        <x:v>背條</x:v>
      </x:c>
      <x:c r="T606"/>
    </x:row>
    <x:row r="607" ht="22.200000762939453" hidden="0">
      <x:c r="A607" s="12" t="s">
        <x:v>41</x:v>
      </x:c>
      <x:c r="B607" s="10"/>
      <x:c r="C607" s="10"/>
      <x:c r="D607" s="10"/>
      <x:c r="E607" s="10"/>
      <x:c r="F607" s="10"/>
      <x:c r="G607" s="10"/>
      <x:c r="H607" s="10" t="n">
        <x:v>11</x:v>
      </x:c>
      <x:c r="I607" s="11"/>
      <x:c r="J607" s="11"/>
      <x:c r="K607" s="11" t="n">
        <x:f aca="0">SUM(F607*H607)</x:f>
        <x:v>0</x:v>
      </x:c>
      <x:c r="L607" s="11"/>
      <x:c r="M607" s="11"/>
      <x:c r="N607" s="11"/>
      <x:c r="O607" s="11"/>
      <x:c r="P607" s="11"/>
      <x:c r="Q607" s="11"/>
      <x:c r="T607"/>
    </x:row>
    <x:row r="608" ht="22.200000762939453" hidden="0">
      <x:c r="A608" s="12" t="s">
        <x:v>42</x:v>
      </x:c>
      <x:c r="B608" s="10"/>
      <x:c r="C608" s="10"/>
      <x:c r="D608" s="10"/>
      <x:c r="E608" s="10"/>
      <x:c r="F608" s="10"/>
      <x:c r="G608" s="10"/>
      <x:c r="H608" s="10" t="n">
        <x:v>9</x:v>
      </x:c>
      <x:c r="I608" s="11"/>
      <x:c r="J608" s="11"/>
      <x:c r="K608" s="11" t="n">
        <x:f aca="0">SUM(F608*H608)</x:f>
        <x:v>0</x:v>
      </x:c>
      <x:c r="L608" s="11"/>
      <x:c r="M608" s="11"/>
      <x:c r="N608" s="11"/>
      <x:c r="O608" s="11"/>
      <x:c r="P608" s="11"/>
      <x:c r="Q608" s="11"/>
      <x:c r="R608" s="9"/>
      <x:c r="S608" s="13"/>
      <x:c r="T608"/>
    </x:row>
    <x:row r="609" ht="22.200000762939453" hidden="0">
      <x:c r="A609" s="10" t="s">
        <x:v>43</x:v>
      </x:c>
      <x:c r="B609" s="10"/>
      <x:c r="C609" s="10"/>
      <x:c r="D609" s="10"/>
      <x:c r="E609" s="10"/>
      <x:c r="F609" s="10"/>
      <x:c r="G609" s="10"/>
      <x:c r="H609" s="10" t="n">
        <x:v>1</x:v>
      </x:c>
      <x:c r="I609" s="11"/>
      <x:c r="J609" s="11"/>
      <x:c r="K609" s="11" t="n">
        <x:f aca="0">SUM(F609*H609)</x:f>
        <x:v>0</x:v>
      </x:c>
      <x:c r="L609" s="11"/>
      <x:c r="M609" s="11"/>
      <x:c r="N609" s="11"/>
      <x:c r="O609" s="11"/>
      <x:c r="P609" s="11"/>
      <x:c r="Q609" s="11"/>
      <x:c r="T609"/>
    </x:row>
    <x:row r="610" ht="22.200000762939453" hidden="0">
      <x:c r="A610" s="10" t="s">
        <x:v>44</x:v>
      </x:c>
      <x:c r="B610" s="10"/>
      <x:c r="C610" s="10"/>
      <x:c r="D610" s="10"/>
      <x:c r="E610" s="10"/>
      <x:c r="F610" s="10"/>
      <x:c r="G610" s="10"/>
      <x:c r="H610" s="10" t="n">
        <x:v>11</x:v>
      </x:c>
      <x:c r="I610" s="11"/>
      <x:c r="J610" s="11"/>
      <x:c r="K610" s="11" t="n">
        <x:f aca="0">SUM(F610*H610)</x:f>
        <x:v>0</x:v>
      </x:c>
      <x:c r="L610" s="11"/>
      <x:c r="M610" s="11"/>
      <x:c r="N610" s="11"/>
      <x:c r="O610" s="11"/>
      <x:c r="P610" s="11"/>
      <x:c r="Q610" s="11"/>
      <x:c r="T610"/>
    </x:row>
    <x:row r="611" ht="22.200000762939453" hidden="0">
      <x:c r="A611" s="10" t="s">
        <x:v>45</x:v>
      </x:c>
      <x:c r="B611" s="10"/>
      <x:c r="C611" s="10"/>
      <x:c r="D611" s="10"/>
      <x:c r="E611" s="10"/>
      <x:c r="F611" s="10"/>
      <x:c r="G611" s="10"/>
      <x:c r="H611" s="10" t="n">
        <x:v>7</x:v>
      </x:c>
      <x:c r="I611" s="11"/>
      <x:c r="J611" s="11"/>
      <x:c r="K611" s="11" t="n">
        <x:f aca="0">SUM(F611*H611)</x:f>
        <x:v>0</x:v>
      </x:c>
      <x:c r="L611" s="11"/>
      <x:c r="M611" s="11"/>
      <x:c r="N611" s="11"/>
      <x:c r="O611" s="11"/>
      <x:c r="P611" s="11"/>
      <x:c r="Q611" s="11"/>
      <x:c r="T611"/>
    </x:row>
    <x:row r="612" ht="22.200000762939453" hidden="0">
      <x:c r="A612" s="12" t="s">
        <x:v>65</x:v>
      </x:c>
      <x:c r="B612" s="10"/>
      <x:c r="C612" s="10"/>
      <x:c r="D612" s="10"/>
      <x:c r="E612" s="10"/>
      <x:c r="F612" s="10"/>
      <x:c r="G612" s="10"/>
      <x:c r="H612" s="10" t="n">
        <x:v>50</x:v>
      </x:c>
      <x:c r="I612" s="11"/>
      <x:c r="J612" s="11"/>
      <x:c r="K612" s="11" t="n">
        <x:f aca="0">SUM(F612*H612)</x:f>
        <x:v>0</x:v>
      </x:c>
      <x:c r="L612" s="11"/>
      <x:c r="M612" s="11"/>
      <x:c r="N612" s="11"/>
      <x:c r="O612" s="11"/>
      <x:c r="P612" s="11"/>
      <x:c r="Q612" s="11"/>
      <x:c r="T612"/>
    </x:row>
    <x:row r="613" ht="22.200000762939453" hidden="0">
      <x:c r="A613" s="10" t="s">
        <x:v>47</x:v>
      </x:c>
      <x:c r="B613" s="10"/>
      <x:c r="C613" s="10"/>
      <x:c r="D613" s="10"/>
      <x:c r="E613" s="10"/>
      <x:c r="F613" s="10"/>
      <x:c r="G613" s="10"/>
      <x:c r="H613" s="10" t="n">
        <x:v>90</x:v>
      </x:c>
      <x:c r="I613" s="11"/>
      <x:c r="J613" s="11"/>
      <x:c r="K613" s="11" t="n">
        <x:f aca="0">SUM(F613*H613)</x:f>
        <x:v>0</x:v>
      </x:c>
      <x:c r="L613" s="11"/>
      <x:c r="M613" s="11"/>
      <x:c r="N613" s="11"/>
      <x:c r="O613" s="11"/>
      <x:c r="P613" s="11"/>
      <x:c r="Q613" s="11"/>
      <x:c r="T613"/>
    </x:row>
    <x:row r="614" ht="22.200000762939453" hidden="0">
      <x:c r="A614" s="10" t="s">
        <x:v>48</x:v>
      </x:c>
      <x:c r="B614" s="10"/>
      <x:c r="C614" s="10"/>
      <x:c r="D614" s="10"/>
      <x:c r="E614" s="10"/>
      <x:c r="F614" s="10"/>
      <x:c r="G614" s="10"/>
      <x:c r="H614" s="10" t="n">
        <x:v>275</x:v>
      </x:c>
      <x:c r="I614" s="11"/>
      <x:c r="J614" s="11"/>
      <x:c r="K614" s="11" t="n">
        <x:f aca="0">SUM(F614*H614)</x:f>
        <x:v>0</x:v>
      </x:c>
      <x:c r="L614" s="11"/>
      <x:c r="M614" s="11"/>
      <x:c r="N614" s="11"/>
      <x:c r="O614" s="11"/>
      <x:c r="P614" s="11"/>
      <x:c r="Q614" s="11"/>
      <x:c r="T614"/>
    </x:row>
    <x:row r="615" ht="22.200000762939453" hidden="0">
      <x:c r="A615" s="12" t="s">
        <x:v>49</x:v>
      </x:c>
      <x:c r="B615" s="10"/>
      <x:c r="C615" s="10"/>
      <x:c r="D615" s="10"/>
      <x:c r="E615" s="10"/>
      <x:c r="F615" s="10"/>
      <x:c r="G615" s="10"/>
      <x:c r="H615" s="10" t="n">
        <x:v>165</x:v>
      </x:c>
      <x:c r="I615" s="11"/>
      <x:c r="J615" s="11"/>
      <x:c r="K615" s="11" t="n">
        <x:f aca="0">SUM(F615*H615)</x:f>
        <x:v>0</x:v>
      </x:c>
      <x:c r="L615" s="11"/>
      <x:c r="M615" s="11"/>
      <x:c r="N615" s="11"/>
      <x:c r="O615" s="11"/>
      <x:c r="P615" s="11"/>
      <x:c r="Q615" s="11"/>
      <x:c r="T615"/>
    </x:row>
    <x:row r="616" ht="22.200000762939453" hidden="0">
      <x:c r="A616" s="12" t="s">
        <x:v>50</x:v>
      </x:c>
      <x:c r="B616" s="10"/>
      <x:c r="C616" s="10"/>
      <x:c r="D616" s="10"/>
      <x:c r="E616" s="10"/>
      <x:c r="F616" s="10"/>
      <x:c r="G616" s="10"/>
      <x:c r="H616" s="10"/>
      <x:c r="I616" s="11"/>
      <x:c r="J616" s="11"/>
      <x:c r="K616" s="11" t="n">
        <x:f aca="0">SUM(F616*H616)</x:f>
        <x:v>0</x:v>
      </x:c>
      <x:c r="L616" s="11"/>
      <x:c r="M616" s="11"/>
      <x:c r="N616" s="11"/>
      <x:c r="O616" s="11"/>
      <x:c r="P616" s="11"/>
      <x:c r="Q616" s="11"/>
      <x:c r="T616"/>
    </x:row>
    <x:row r="617" ht="22.200000762939453" hidden="0">
      <x:c r="A617" s="12" t="s">
        <x:v>51</x:v>
      </x:c>
      <x:c r="B617" s="10"/>
      <x:c r="C617" s="10"/>
      <x:c r="D617" s="10"/>
      <x:c r="E617" s="10"/>
      <x:c r="F617" s="10"/>
      <x:c r="G617" s="10"/>
      <x:c r="H617" s="10"/>
      <x:c r="I617" s="11"/>
      <x:c r="J617" s="11"/>
      <x:c r="K617" s="11" t="n">
        <x:f aca="0">SUM(F617*H617)</x:f>
        <x:v>0</x:v>
      </x:c>
      <x:c r="L617" s="11"/>
      <x:c r="M617" s="11"/>
      <x:c r="N617" s="11"/>
      <x:c r="O617" s="11"/>
      <x:c r="P617" s="11"/>
      <x:c r="Q617" s="11"/>
      <x:c r="T617"/>
    </x:row>
    <x:row r="618" ht="22.200000762939453" hidden="0">
      <x:c r="A618" s="12" t="s">
        <x:v>52</x:v>
      </x:c>
      <x:c r="B618" s="10"/>
      <x:c r="C618" s="10"/>
      <x:c r="D618" s="10"/>
      <x:c r="E618" s="10"/>
      <x:c r="F618" s="10"/>
      <x:c r="G618" s="10"/>
      <x:c r="H618" s="10"/>
      <x:c r="I618" s="11"/>
      <x:c r="J618" s="11"/>
      <x:c r="K618" s="11" t="n">
        <x:f aca="0">SUM(F618*H618)</x:f>
        <x:v>0</x:v>
      </x:c>
      <x:c r="L618" s="11"/>
      <x:c r="M618" s="11"/>
      <x:c r="N618" s="11"/>
      <x:c r="O618" s="11"/>
      <x:c r="P618" s="11"/>
      <x:c r="Q618" s="11"/>
      <x:c r="T618"/>
    </x:row>
    <x:row r="619" ht="22.200000762939453" hidden="0">
      <x:c r="A619" s="12" t="s">
        <x:v>53</x:v>
      </x:c>
      <x:c r="B619" s="10"/>
      <x:c r="C619" s="10"/>
      <x:c r="D619" s="10"/>
      <x:c r="E619" s="10"/>
      <x:c r="F619" s="10"/>
      <x:c r="G619" s="10"/>
      <x:c r="H619" s="10" t="n">
        <x:v>66</x:v>
      </x:c>
      <x:c r="I619" s="11"/>
      <x:c r="J619" s="11"/>
      <x:c r="K619" s="11" t="n">
        <x:f aca="0">SUM(F619*H619)</x:f>
        <x:v>0</x:v>
      </x:c>
      <x:c r="L619" s="11"/>
      <x:c r="M619" s="11"/>
      <x:c r="N619" s="11"/>
      <x:c r="O619" s="11"/>
      <x:c r="P619" s="11"/>
      <x:c r="Q619" s="11"/>
      <x:c r="T619"/>
    </x:row>
    <x:row r="620" ht="22.200000762939453" hidden="0">
      <x:c r="A620" s="10" t="s">
        <x:v>54</x:v>
      </x:c>
      <x:c r="B620" s="10"/>
      <x:c r="C620" s="10"/>
      <x:c r="D620" s="10"/>
      <x:c r="E620" s="10"/>
      <x:c r="F620" s="10"/>
      <x:c r="G620" s="10"/>
      <x:c r="H620" s="10" t="n">
        <x:v>220</x:v>
      </x:c>
      <x:c r="I620" s="11"/>
      <x:c r="J620" s="11"/>
      <x:c r="K620" s="11" t="n">
        <x:f aca="0">SUM(F620*H620)</x:f>
        <x:v>0</x:v>
      </x:c>
      <x:c r="L620" s="11"/>
      <x:c r="M620" s="11"/>
      <x:c r="N620" s="11"/>
      <x:c r="O620" s="11"/>
      <x:c r="P620" s="11"/>
      <x:c r="Q620" s="11"/>
      <x:c r="T620"/>
    </x:row>
    <x:row r="621" ht="22.200000762939453" hidden="0">
      <x:c r="A621" s="12" t="s">
        <x:v>55</x:v>
      </x:c>
      <x:c r="B621" s="10"/>
      <x:c r="C621" s="10"/>
      <x:c r="D621" s="10"/>
      <x:c r="E621" s="10"/>
      <x:c r="F621" s="10"/>
      <x:c r="G621" s="10"/>
      <x:c r="H621" s="10"/>
      <x:c r="I621" s="11"/>
      <x:c r="J621" s="11"/>
      <x:c r="K621" s="11" t="n">
        <x:f aca="0">SUM(F621*H621)</x:f>
        <x:v>0</x:v>
      </x:c>
      <x:c r="L621" s="11"/>
      <x:c r="M621" s="11"/>
      <x:c r="N621" s="11"/>
      <x:c r="O621" s="11"/>
      <x:c r="P621" s="11"/>
      <x:c r="Q621" s="11"/>
      <x:c r="T621"/>
    </x:row>
    <x:row r="622" ht="22.200000762939453" hidden="0">
      <x:c r="A622" s="10" t="s">
        <x:v>56</x:v>
      </x:c>
      <x:c r="B622" s="10"/>
      <x:c r="C622" s="10"/>
      <x:c r="D622" s="10"/>
      <x:c r="E622" s="10"/>
      <x:c r="F622" s="10"/>
      <x:c r="G622" s="10"/>
      <x:c r="H622" s="10" t="n">
        <x:v>800</x:v>
      </x:c>
      <x:c r="I622" s="11"/>
      <x:c r="J622" s="11"/>
      <x:c r="K622" s="11" t="n">
        <x:f aca="0">SUM(F622*H622)</x:f>
        <x:v>0</x:v>
      </x:c>
      <x:c r="L622" s="11"/>
      <x:c r="M622" s="11"/>
      <x:c r="N622" s="11"/>
      <x:c r="O622" s="11"/>
      <x:c r="P622" s="11"/>
      <x:c r="Q622" s="11"/>
      <x:c r="T622"/>
    </x:row>
    <x:row r="623" ht="22.200000762939453" hidden="0">
      <x:c r="A623" s="10" t="s">
        <x:v>57</x:v>
      </x:c>
      <x:c r="B623" s="10"/>
      <x:c r="C623" s="10"/>
      <x:c r="D623" s="10"/>
      <x:c r="E623" s="10"/>
      <x:c r="F623" s="10"/>
      <x:c r="G623" s="10"/>
      <x:c r="H623" s="10" t="n">
        <x:v>200</x:v>
      </x:c>
      <x:c r="I623" s="11"/>
      <x:c r="J623" s="11"/>
      <x:c r="K623" s="11" t="n">
        <x:f aca="0">SUM(F623*H623)</x:f>
        <x:v>0</x:v>
      </x:c>
      <x:c r="L623" s="11"/>
      <x:c r="M623" s="11"/>
      <x:c r="N623" s="11"/>
      <x:c r="O623" s="11"/>
      <x:c r="P623" s="11"/>
      <x:c r="Q623" s="11"/>
      <x:c r="T623"/>
    </x:row>
    <x:row r="624" ht="22.200000762939453" hidden="0">
      <x:c r="A624" s="10" t="s">
        <x:v>58</x:v>
      </x:c>
      <x:c r="B624" s="10"/>
      <x:c r="C624" s="10"/>
      <x:c r="D624" s="10"/>
      <x:c r="E624" s="10"/>
      <x:c r="F624" s="10"/>
      <x:c r="G624" s="10"/>
      <x:c r="H624" s="10" t="n">
        <x:v>150</x:v>
      </x:c>
      <x:c r="I624" s="11"/>
      <x:c r="J624" s="11"/>
      <x:c r="K624" s="11" t="n">
        <x:f aca="0">SUM(F624*H624)</x:f>
        <x:v>0</x:v>
      </x:c>
      <x:c r="L624" s="11"/>
      <x:c r="M624" s="11"/>
      <x:c r="N624" s="11"/>
      <x:c r="O624" s="11"/>
      <x:c r="P624" s="11"/>
      <x:c r="Q624" s="11"/>
      <x:c r="T624"/>
    </x:row>
    <x:row r="625" ht="22.200000762939453" hidden="0">
      <x:c r="A625" s="10" t="s">
        <x:v>59</x:v>
      </x:c>
      <x:c r="B625" s="10"/>
      <x:c r="C625" s="10"/>
      <x:c r="D625" s="10"/>
      <x:c r="E625" s="10"/>
      <x:c r="F625" s="10"/>
      <x:c r="G625" s="10"/>
      <x:c r="H625" s="10" t="n">
        <x:v>34</x:v>
      </x:c>
      <x:c r="I625" s="11"/>
      <x:c r="J625" s="11"/>
      <x:c r="K625" s="11" t="n">
        <x:f aca="0">SUM(F625*H625)</x:f>
        <x:v>0</x:v>
      </x:c>
      <x:c r="L625" s="11"/>
      <x:c r="M625" s="11"/>
      <x:c r="N625" s="11"/>
      <x:c r="O625" s="11"/>
      <x:c r="P625" s="11"/>
      <x:c r="Q625" s="11"/>
      <x:c r="T625"/>
    </x:row>
    <x:row r="626" ht="22.200000762939453" hidden="0">
      <x:c r="A626" s="10" t="s">
        <x:v>60</x:v>
      </x:c>
      <x:c r="B626" s="10"/>
      <x:c r="C626" s="10"/>
      <x:c r="D626" s="10"/>
      <x:c r="E626" s="10"/>
      <x:c r="F626" s="10"/>
      <x:c r="G626" s="10"/>
      <x:c r="H626" s="10" t="n">
        <x:v>6</x:v>
      </x:c>
      <x:c r="I626" s="11"/>
      <x:c r="J626" s="11"/>
      <x:c r="K626" s="11" t="n">
        <x:f aca="0">SUM(F626*H626)</x:f>
        <x:v>0</x:v>
      </x:c>
      <x:c r="L626" s="11"/>
      <x:c r="M626" s="11"/>
      <x:c r="N626" s="11"/>
      <x:c r="O626" s="11"/>
      <x:c r="P626" s="11"/>
      <x:c r="Q626" s="11"/>
      <x:c r="T626"/>
    </x:row>
    <x:row r="627" ht="22.200000762939453" hidden="0">
      <x:c r="A627" s="10" t="s">
        <x:v>61</x:v>
      </x:c>
      <x:c r="B627" s="10"/>
      <x:c r="C627" s="10"/>
      <x:c r="D627" s="10"/>
      <x:c r="E627" s="10"/>
      <x:c r="F627" s="10"/>
      <x:c r="G627" s="10"/>
      <x:c r="H627" s="10" t="n">
        <x:v>670</x:v>
      </x:c>
      <x:c r="I627" s="11"/>
      <x:c r="J627" s="11"/>
      <x:c r="K627" s="11" t="n">
        <x:f aca="0">SUM(F627*H627)</x:f>
        <x:v>0</x:v>
      </x:c>
      <x:c r="L627" s="11"/>
      <x:c r="M627" s="11"/>
      <x:c r="N627" s="11"/>
      <x:c r="O627" s="11"/>
      <x:c r="P627" s="11"/>
      <x:c r="Q627" s="11"/>
      <x:c r="T627"/>
    </x:row>
    <x:row r="628" ht="22.200000762939453" hidden="0">
      <x:c r="A628" s="10" t="s">
        <x:v>62</x:v>
      </x:c>
      <x:c r="B628" s="10"/>
      <x:c r="C628" s="10"/>
      <x:c r="D628" s="10"/>
      <x:c r="E628" s="10"/>
      <x:c r="F628" s="10"/>
      <x:c r="G628" s="10"/>
      <x:c r="H628" s="10" t="n">
        <x:v>110</x:v>
      </x:c>
      <x:c r="I628" s="11"/>
      <x:c r="J628" s="11"/>
      <x:c r="K628" s="11" t="n">
        <x:f aca="0">SUM(F628*H628)</x:f>
        <x:v>0</x:v>
      </x:c>
      <x:c r="L628" s="11"/>
      <x:c r="M628" s="11"/>
      <x:c r="N628" s="11"/>
      <x:c r="O628" s="11"/>
      <x:c r="P628" s="11"/>
      <x:c r="Q628" s="11"/>
      <x:c r="T628"/>
    </x:row>
    <x:row r="629" ht="22.200000762939453" hidden="0">
      <x:c r="A629" s="10" t="s">
        <x:v>63</x:v>
      </x:c>
      <x:c r="B629" s="10"/>
      <x:c r="C629" s="10"/>
      <x:c r="D629" s="10"/>
      <x:c r="E629" s="10"/>
      <x:c r="F629" s="10"/>
      <x:c r="G629" s="10"/>
      <x:c r="H629" s="10"/>
      <x:c r="I629" s="11"/>
      <x:c r="J629" s="11"/>
      <x:c r="K629" s="11" t="n">
        <x:f aca="0">SUM(F629*H629)</x:f>
        <x:v>0</x:v>
      </x:c>
      <x:c r="L629" s="11"/>
      <x:c r="M629" s="11"/>
      <x:c r="N629" s="11"/>
      <x:c r="O629" s="11"/>
      <x:c r="P629" s="11"/>
      <x:c r="Q629" s="11"/>
      <x:c r="T629"/>
    </x:row>
    <x:row r="630" ht="22.200000762939453" hidden="0">
      <x:c r="A630" s="10"/>
      <x:c r="B630" s="10"/>
      <x:c r="C630" s="10"/>
      <x:c r="D630" s="10"/>
      <x:c r="E630" s="10"/>
      <x:c r="F630" s="10"/>
      <x:c r="G630" s="10"/>
      <x:c r="H630" s="10"/>
      <x:c r="I630" s="11"/>
      <x:c r="J630" s="11"/>
      <x:c r="K630" s="11" t="n">
        <x:f aca="0">SUM(F630*H630)</x:f>
        <x:v>0</x:v>
      </x:c>
      <x:c r="L630" s="11"/>
      <x:c r="M630" s="11"/>
      <x:c r="N630" s="11"/>
      <x:c r="O630" s="11"/>
      <x:c r="P630" s="11"/>
      <x:c r="Q630" s="11"/>
      <x:c r="T630"/>
    </x:row>
    <x:row r="631" ht="22.200000762939453" hidden="0">
      <x:c r="A631" s="15"/>
      <x:c r="B631" s="15"/>
      <x:c r="C631" s="15"/>
      <x:c r="D631" s="15"/>
      <x:c r="E631" s="15"/>
      <x:c r="F631" s="15"/>
      <x:c r="G631" s="15"/>
      <x:c r="H631" s="15"/>
      <x:c r="I631" s="11" t="n">
        <x:f aca="0">SUM(B631*C631)/90000</x:f>
        <x:v>0</x:v>
      </x:c>
      <x:c r="J631" s="15" t="s">
        <x:v>17</x:v>
      </x:c>
      <x:c r="K631" s="16" t="n">
        <x:f aca="0">SUM(K558:K630)</x:f>
        <x:v>0</x:v>
      </x:c>
      <x:c r="L631" s="16" t="n">
        <x:f aca="0">SUM(K631*1.35)</x:f>
        <x:v>0</x:v>
      </x:c>
      <x:c r="M631" s="16"/>
      <x:c r="N631" s="16" t="n">
        <x:f aca="0">SUM(M631*1.25)</x:f>
        <x:v>0</x:v>
      </x:c>
      <x:c r="O631" s="16"/>
      <x:c r="P631" s="16"/>
      <x:c r="Q631" s="16"/>
      <x:c r="T631"/>
    </x:row>
    <x:row r="635" ht="22.200000762939453" hidden="0">
      <x:c r="A635" s="5"/>
      <x:c r="B635" s="5"/>
      <x:c r="C635" s="5"/>
      <x:c r="D635" s="5"/>
      <x:c r="E635" s="5"/>
      <x:c r="F635" s="5"/>
      <x:c r="G635" s="6"/>
      <x:c r="H635" s="5"/>
      <x:c r="I635" s="3"/>
      <x:c r="J635" s="3"/>
      <x:c r="K635" s="4"/>
      <x:c r="L635" s="4"/>
      <x:c r="M635" s="4"/>
      <x:c r="N635" s="4"/>
      <x:c r="O635" s="4"/>
      <x:c r="P635" s="4"/>
      <x:c r="Q635" s="4"/>
      <x:c r="R635" s="4"/>
    </x:row>
    <x:row r="636" ht="22.200000762939453" hidden="0">
      <x:c r="A636" s="7" t="s">
        <x:v>3</x:v>
      </x:c>
      <x:c r="B636" s="8" t="s">
        <x:v>4</x:v>
      </x:c>
      <x:c r="C636" s="8"/>
      <x:c r="D636" s="7" t="s">
        <x:v>5</x:v>
      </x:c>
      <x:c r="E636" s="7"/>
      <x:c r="F636" s="7" t="s">
        <x:v>6</x:v>
      </x:c>
      <x:c r="G636" s="7"/>
      <x:c r="H636" s="7" t="s">
        <x:v>7</x:v>
      </x:c>
      <x:c r="I636" s="7" t="s">
        <x:v>8</x:v>
      </x:c>
      <x:c r="J636" s="7" t="s">
        <x:v>9</x:v>
      </x:c>
      <x:c r="K636" s="7" t="s">
        <x:v>10</x:v>
      </x:c>
      <x:c r="L636" s="7"/>
      <x:c r="M636" s="7" t="s">
        <x:v>11</x:v>
      </x:c>
      <x:c r="N636" s="7" t="s">
        <x:v>12</x:v>
      </x:c>
      <x:c r="O636" s="7" t="s">
        <x:v>6</x:v>
      </x:c>
      <x:c r="P636" s="7" t="s">
        <x:v>13</x:v>
      </x:c>
      <x:c r="Q636" s="7" t="s">
        <x:v>14</x:v>
      </x:c>
      <x:c r="R636" s="9" t="s">
        <x:v>15</x:v>
      </x:c>
      <x:c r="S636" s="9" t="s">
        <x:v>16</x:v>
      </x:c>
      <x:c r="T636"/>
    </x:row>
    <x:row r="637" ht="22.200000762939453" hidden="0">
      <x:c r="A637" s="10" t="s">
        <x:v>18</x:v>
      </x:c>
      <x:c r="B637" s="10"/>
      <x:c r="C637" s="10"/>
      <x:c r="D637" s="10" t="n">
        <x:v>18</x:v>
      </x:c>
      <x:c r="E637" s="10"/>
      <x:c r="F637" s="10"/>
      <x:c r="G637" s="10"/>
      <x:c r="H637" s="10" t="n">
        <x:v>69</x:v>
      </x:c>
      <x:c r="I637" s="11" t="n">
        <x:f aca="0">ROUND((IF((B637*C637)/90000&lt;1,1))+IF((B637*C637)/90000&gt;=1,(B637*C637)/90000),1.1)</x:f>
        <x:v>1</x:v>
      </x:c>
      <x:c r="J637" s="11" t="n">
        <x:f aca="0">SUM(F637*I637)</x:f>
        <x:v>0</x:v>
      </x:c>
      <x:c r="K637" s="11" t="n">
        <x:f aca="0">SUM(H637*J637)</x:f>
        <x:v>0</x:v>
      </x:c>
      <x:c r="L637" s="11"/>
      <x:c r="M637" s="11" t="n">
        <x:f aca="0">SUM(C637-1)</x:f>
        <x:v>-1</x:v>
      </x:c>
      <x:c r="N637" s="11" t="n">
        <x:f aca="0">SUM(B637-1)</x:f>
        <x:v>-1</x:v>
      </x:c>
      <x:c r="O637" s="11" t="n">
        <x:f aca="0">SUM(F637*1)</x:f>
        <x:v>0</x:v>
      </x:c>
      <x:c r="P637" s="11"/>
      <x:c r="Q637" s="11" t="str">
        <x:f aca="0">A637</x:f>
        <x:v>側板</x:v>
      </x:c>
      <x:c r="R637" s="1" t="n">
        <x:f aca="0">SUM(B637*2+C637*2)*F637</x:f>
        <x:v>0</x:v>
      </x:c>
      <x:c r="T637"/>
    </x:row>
    <x:row r="638" ht="22.200000762939453" hidden="0">
      <x:c r="A638" s="10" t="s">
        <x:v>18</x:v>
      </x:c>
      <x:c r="B638" s="10"/>
      <x:c r="C638" s="10"/>
      <x:c r="D638" s="10" t="n">
        <x:v>18</x:v>
      </x:c>
      <x:c r="E638" s="10"/>
      <x:c r="F638" s="10"/>
      <x:c r="G638" s="10"/>
      <x:c r="H638" s="10" t="n">
        <x:v>69</x:v>
      </x:c>
      <x:c r="I638" s="11" t="n">
        <x:f aca="0">ROUND((IF((B638*C638)/90000&lt;1,1))+IF((B638*C638)/90000&gt;=1,(B638*C638)/90000),1.1)</x:f>
        <x:v>1</x:v>
      </x:c>
      <x:c r="J638" s="11" t="n">
        <x:f aca="0">SUM(F638*I638)</x:f>
        <x:v>0</x:v>
      </x:c>
      <x:c r="K638" s="11" t="n">
        <x:f aca="0">SUM(H638*J638)</x:f>
        <x:v>0</x:v>
      </x:c>
      <x:c r="L638" s="11"/>
      <x:c r="M638" s="11" t="n">
        <x:f aca="0">SUM(C638-1)</x:f>
        <x:v>-1</x:v>
      </x:c>
      <x:c r="N638" s="11" t="n">
        <x:f aca="0">SUM(B638-1)</x:f>
        <x:v>-1</x:v>
      </x:c>
      <x:c r="O638" s="11" t="n">
        <x:f aca="0">SUM(F638*1)</x:f>
        <x:v>0</x:v>
      </x:c>
      <x:c r="P638" s="11"/>
      <x:c r="Q638" s="11" t="str">
        <x:f aca="0">A638</x:f>
        <x:v>側板</x:v>
      </x:c>
      <x:c r="R638" s="1" t="n">
        <x:f aca="0">SUM(B638*2+C638*2)*F638</x:f>
        <x:v>0</x:v>
      </x:c>
      <x:c r="T638"/>
    </x:row>
    <x:row r="639" ht="22.200000762939453" hidden="0">
      <x:c r="A639" s="10" t="s">
        <x:v>18</x:v>
      </x:c>
      <x:c r="B639" s="10"/>
      <x:c r="C639" s="10"/>
      <x:c r="D639" s="10" t="n">
        <x:v>18</x:v>
      </x:c>
      <x:c r="E639" s="10"/>
      <x:c r="F639" s="10"/>
      <x:c r="G639" s="10"/>
      <x:c r="H639" s="10" t="n">
        <x:v>69</x:v>
      </x:c>
      <x:c r="I639" s="11" t="n">
        <x:f aca="0">ROUND((IF((B639*C639)/90000&lt;1,1))+IF((B639*C639)/90000&gt;=1,(B639*C639)/90000),1.1)</x:f>
        <x:v>1</x:v>
      </x:c>
      <x:c r="J639" s="11" t="n">
        <x:f aca="0">SUM(F639*I639)</x:f>
        <x:v>0</x:v>
      </x:c>
      <x:c r="K639" s="11" t="n">
        <x:f aca="0">SUM(H639*J639)</x:f>
        <x:v>0</x:v>
      </x:c>
      <x:c r="L639" s="11"/>
      <x:c r="M639" s="11" t="n">
        <x:f aca="0">SUM(C639-1)</x:f>
        <x:v>-1</x:v>
      </x:c>
      <x:c r="N639" s="11" t="n">
        <x:f aca="0">SUM(B639-1)</x:f>
        <x:v>-1</x:v>
      </x:c>
      <x:c r="O639" s="11" t="n">
        <x:f aca="0">SUM(F639*1)</x:f>
        <x:v>0</x:v>
      </x:c>
      <x:c r="P639" s="11"/>
      <x:c r="Q639" s="11" t="str">
        <x:f aca="0">A639</x:f>
        <x:v>側板</x:v>
      </x:c>
      <x:c r="R639" s="1" t="n">
        <x:f aca="0">SUM(B639*2+C639*2)*F639</x:f>
        <x:v>0</x:v>
      </x:c>
      <x:c r="T639"/>
    </x:row>
    <x:row r="640" ht="22.200000762939453" hidden="0">
      <x:c r="A640" s="10" t="s">
        <x:v>19</x:v>
      </x:c>
      <x:c r="B640" s="10"/>
      <x:c r="C640" s="10"/>
      <x:c r="D640" s="10" t="n">
        <x:v>18</x:v>
      </x:c>
      <x:c r="E640" s="10"/>
      <x:c r="F640" s="10"/>
      <x:c r="G640" s="10"/>
      <x:c r="H640" s="10" t="n">
        <x:v>69</x:v>
      </x:c>
      <x:c r="I640" s="11" t="n">
        <x:f aca="0">ROUND((IF((B640*C640)/90000&lt;1,1))+IF((B640*C640)/90000&gt;=1,(B640*C640)/90000),1.1)</x:f>
        <x:v>1</x:v>
      </x:c>
      <x:c r="J640" s="11" t="n">
        <x:f aca="0">SUM(F640*I640)</x:f>
        <x:v>0</x:v>
      </x:c>
      <x:c r="K640" s="11" t="n">
        <x:f aca="0">SUM(H640*J640)</x:f>
        <x:v>0</x:v>
      </x:c>
      <x:c r="L640" s="11"/>
      <x:c r="M640" s="11" t="n">
        <x:f aca="0">SUM(C640)</x:f>
        <x:v>0</x:v>
      </x:c>
      <x:c r="N640" s="11" t="n">
        <x:f aca="0">SUM(B640-1)</x:f>
        <x:v>-1</x:v>
      </x:c>
      <x:c r="O640" s="11" t="n">
        <x:f aca="0">SUM(F640*1)</x:f>
        <x:v>0</x:v>
      </x:c>
      <x:c r="P640" s="11"/>
      <x:c r="Q640" s="11" t="str">
        <x:f aca="0">A640</x:f>
        <x:v>頂底板</x:v>
      </x:c>
      <x:c r="R640" s="1" t="n">
        <x:f aca="0">SUM(C640*2)*F640</x:f>
        <x:v>0</x:v>
      </x:c>
      <x:c r="T640"/>
    </x:row>
    <x:row r="641" ht="22.200000762939453" hidden="0">
      <x:c r="A641" s="10" t="s">
        <x:v>19</x:v>
      </x:c>
      <x:c r="B641" s="10"/>
      <x:c r="C641" s="10"/>
      <x:c r="D641" s="10" t="n">
        <x:v>18</x:v>
      </x:c>
      <x:c r="E641" s="10"/>
      <x:c r="F641" s="10"/>
      <x:c r="G641" s="10"/>
      <x:c r="H641" s="10" t="n">
        <x:v>69</x:v>
      </x:c>
      <x:c r="I641" s="11" t="n">
        <x:f aca="0">ROUND((IF((B641*C641)/90000&lt;1,1))+IF((B641*C641)/90000&gt;=1,(B641*C641)/90000),1.1)</x:f>
        <x:v>1</x:v>
      </x:c>
      <x:c r="J641" s="11" t="n">
        <x:f aca="0">SUM(F641*I641)</x:f>
        <x:v>0</x:v>
      </x:c>
      <x:c r="K641" s="11" t="n">
        <x:f aca="0">SUM(H641*J641)</x:f>
        <x:v>0</x:v>
      </x:c>
      <x:c r="L641" s="11"/>
      <x:c r="M641" s="11" t="n">
        <x:f aca="0">SUM(C641)</x:f>
        <x:v>0</x:v>
      </x:c>
      <x:c r="N641" s="11" t="n">
        <x:f aca="0">SUM(B641-1)</x:f>
        <x:v>-1</x:v>
      </x:c>
      <x:c r="O641" s="11" t="n">
        <x:f aca="0">SUM(F641*1)</x:f>
        <x:v>0</x:v>
      </x:c>
      <x:c r="P641" s="11"/>
      <x:c r="Q641" s="11" t="str">
        <x:f aca="0">A641</x:f>
        <x:v>頂底板</x:v>
      </x:c>
      <x:c r="R641" s="1" t="n">
        <x:f aca="0">SUM(C641*2)*F641</x:f>
        <x:v>0</x:v>
      </x:c>
      <x:c r="T641"/>
    </x:row>
    <x:row r="642" ht="22.200000762939453" hidden="0">
      <x:c r="A642" s="10" t="s">
        <x:v>19</x:v>
      </x:c>
      <x:c r="B642" s="10"/>
      <x:c r="C642" s="10"/>
      <x:c r="D642" s="10" t="n">
        <x:v>18</x:v>
      </x:c>
      <x:c r="E642" s="10"/>
      <x:c r="F642" s="10"/>
      <x:c r="G642" s="10"/>
      <x:c r="H642" s="10" t="n">
        <x:v>69</x:v>
      </x:c>
      <x:c r="I642" s="11" t="n">
        <x:f aca="0">ROUND((IF((B642*C642)/90000&lt;1,1))+IF((B642*C642)/90000&gt;=1,(B642*C642)/90000),1.1)</x:f>
        <x:v>1</x:v>
      </x:c>
      <x:c r="J642" s="11" t="n">
        <x:f aca="0">SUM(F642*I642)</x:f>
        <x:v>0</x:v>
      </x:c>
      <x:c r="K642" s="11" t="n">
        <x:f aca="0">SUM(H642*J642)</x:f>
        <x:v>0</x:v>
      </x:c>
      <x:c r="L642" s="11"/>
      <x:c r="M642" s="11" t="n">
        <x:f aca="0">SUM(C642)</x:f>
        <x:v>0</x:v>
      </x:c>
      <x:c r="N642" s="11" t="n">
        <x:f aca="0">SUM(B642-1)</x:f>
        <x:v>-1</x:v>
      </x:c>
      <x:c r="O642" s="11" t="n">
        <x:f aca="0">SUM(F642*1)</x:f>
        <x:v>0</x:v>
      </x:c>
      <x:c r="P642" s="11"/>
      <x:c r="Q642" s="11" t="str">
        <x:f aca="0">A642</x:f>
        <x:v>頂底板</x:v>
      </x:c>
      <x:c r="R642" s="1" t="n">
        <x:f aca="0">SUM(C642*2)*F642</x:f>
        <x:v>0</x:v>
      </x:c>
      <x:c r="T642"/>
    </x:row>
    <x:row r="643" ht="22.200000762939453" hidden="0">
      <x:c r="A643" s="10" t="s">
        <x:v>20</x:v>
      </x:c>
      <x:c r="B643" s="10"/>
      <x:c r="C643" s="10"/>
      <x:c r="D643" s="10" t="n">
        <x:v>18</x:v>
      </x:c>
      <x:c r="E643" s="10"/>
      <x:c r="F643" s="10"/>
      <x:c r="G643" s="10"/>
      <x:c r="H643" s="10" t="n">
        <x:v>74</x:v>
      </x:c>
      <x:c r="I643" s="11" t="n">
        <x:f aca="0">ROUND((IF((B643*C643)/90000&lt;1,1))+IF((B643*C643)/90000&gt;=1,(B643*C643)/90000),1.1)</x:f>
        <x:v>1</x:v>
      </x:c>
      <x:c r="J643" s="11" t="n">
        <x:f aca="0">SUM(F643*I643)</x:f>
        <x:v>0</x:v>
      </x:c>
      <x:c r="K643" s="11" t="n">
        <x:f aca="0">SUM(H643*J643)</x:f>
        <x:v>0</x:v>
      </x:c>
      <x:c r="L643" s="11"/>
      <x:c r="M643" s="11" t="n">
        <x:f aca="0">SUM(C643)</x:f>
        <x:v>0</x:v>
      </x:c>
      <x:c r="N643" s="11" t="n">
        <x:f aca="0">SUM(B643-1)</x:f>
        <x:v>-1</x:v>
      </x:c>
      <x:c r="O643" s="11" t="n">
        <x:f aca="0">SUM(F643*1)</x:f>
        <x:v>0</x:v>
      </x:c>
      <x:c r="P643" s="11"/>
      <x:c r="Q643" s="11" t="str">
        <x:f aca="0">A643</x:f>
        <x:v>中立板</x:v>
      </x:c>
      <x:c r="R643" s="1" t="n">
        <x:f aca="0">SUM(C643*1)*F643</x:f>
        <x:v>0</x:v>
      </x:c>
      <x:c r="T643"/>
    </x:row>
    <x:row r="644" ht="22.200000762939453" hidden="0">
      <x:c r="A644" s="10" t="s">
        <x:v>20</x:v>
      </x:c>
      <x:c r="B644" s="10"/>
      <x:c r="C644" s="10"/>
      <x:c r="D644" s="10" t="n">
        <x:v>18</x:v>
      </x:c>
      <x:c r="E644" s="10"/>
      <x:c r="F644" s="10"/>
      <x:c r="G644" s="10"/>
      <x:c r="H644" s="10" t="n">
        <x:v>74</x:v>
      </x:c>
      <x:c r="I644" s="11" t="n">
        <x:f aca="0">ROUND((IF((B644*C644)/90000&lt;1,1))+IF((B644*C644)/90000&gt;=1,(B644*C644)/90000),1.1)</x:f>
        <x:v>1</x:v>
      </x:c>
      <x:c r="J644" s="11" t="n">
        <x:f aca="0">SUM(F644*I644)</x:f>
        <x:v>0</x:v>
      </x:c>
      <x:c r="K644" s="11" t="n">
        <x:f aca="0">SUM(H644*J644)</x:f>
        <x:v>0</x:v>
      </x:c>
      <x:c r="L644" s="11"/>
      <x:c r="M644" s="11" t="n">
        <x:f aca="0">SUM(C644)</x:f>
        <x:v>0</x:v>
      </x:c>
      <x:c r="N644" s="11" t="n">
        <x:f aca="0">SUM(B644-1)</x:f>
        <x:v>-1</x:v>
      </x:c>
      <x:c r="O644" s="11" t="n">
        <x:f aca="0">SUM(F644*1)</x:f>
        <x:v>0</x:v>
      </x:c>
      <x:c r="P644" s="11"/>
      <x:c r="Q644" s="11" t="str">
        <x:f aca="0">A644</x:f>
        <x:v>中立板</x:v>
      </x:c>
      <x:c r="R644" s="1" t="n">
        <x:f aca="0">SUM(C644*1)*F644</x:f>
        <x:v>0</x:v>
      </x:c>
      <x:c r="T644"/>
    </x:row>
    <x:row r="645" ht="22.200000762939453" hidden="0">
      <x:c r="A645" s="10" t="s">
        <x:v>21</x:v>
      </x:c>
      <x:c r="B645" s="10"/>
      <x:c r="C645" s="10"/>
      <x:c r="D645" s="10" t="n">
        <x:v>18</x:v>
      </x:c>
      <x:c r="E645" s="10"/>
      <x:c r="F645" s="10"/>
      <x:c r="G645" s="10"/>
      <x:c r="H645" s="10" t="n">
        <x:v>69</x:v>
      </x:c>
      <x:c r="I645" s="11" t="n">
        <x:f aca="0">ROUND((IF((B645*C645)/90000&lt;1,1))+IF((B645*C645)/90000&gt;=1,(B645*C645)/90000),1.1)</x:f>
        <x:v>1</x:v>
      </x:c>
      <x:c r="J645" s="11" t="n">
        <x:f aca="0">SUM(F645*I645)</x:f>
        <x:v>0</x:v>
      </x:c>
      <x:c r="K645" s="11" t="n">
        <x:f aca="0">SUM(H645*J645)</x:f>
        <x:v>0</x:v>
      </x:c>
      <x:c r="L645" s="11"/>
      <x:c r="M645" s="11" t="n">
        <x:f aca="0">SUM(C645)</x:f>
        <x:v>0</x:v>
      </x:c>
      <x:c r="N645" s="11" t="n">
        <x:f aca="0">SUM(B645-1)</x:f>
        <x:v>-1</x:v>
      </x:c>
      <x:c r="O645" s="11" t="n">
        <x:f aca="0">SUM(F645*1)</x:f>
        <x:v>0</x:v>
      </x:c>
      <x:c r="P645" s="11"/>
      <x:c r="Q645" s="11" t="str">
        <x:f aca="0">A645</x:f>
        <x:v>固格板</x:v>
      </x:c>
      <x:c r="R645" s="1" t="n">
        <x:f aca="0">SUM(C645*1)*F645</x:f>
        <x:v>0</x:v>
      </x:c>
      <x:c r="T645"/>
    </x:row>
    <x:row r="646" ht="22.200000762939453" hidden="0">
      <x:c r="A646" s="10" t="s">
        <x:v>21</x:v>
      </x:c>
      <x:c r="B646" s="10"/>
      <x:c r="C646" s="10"/>
      <x:c r="D646" s="10" t="n">
        <x:v>18</x:v>
      </x:c>
      <x:c r="E646" s="10"/>
      <x:c r="F646" s="10"/>
      <x:c r="G646" s="10"/>
      <x:c r="H646" s="10" t="n">
        <x:v>69</x:v>
      </x:c>
      <x:c r="I646" s="11" t="n">
        <x:f aca="0">ROUND((IF((B646*C646)/90000&lt;1,1))+IF((B646*C646)/90000&gt;=1,(B646*C646)/90000),1.1)</x:f>
        <x:v>1</x:v>
      </x:c>
      <x:c r="J646" s="11" t="n">
        <x:f aca="0">SUM(F646*I646)</x:f>
        <x:v>0</x:v>
      </x:c>
      <x:c r="K646" s="11" t="n">
        <x:f aca="0">SUM(H646*J646)</x:f>
        <x:v>0</x:v>
      </x:c>
      <x:c r="L646" s="11"/>
      <x:c r="M646" s="11" t="n">
        <x:f aca="0">SUM(C646)</x:f>
        <x:v>0</x:v>
      </x:c>
      <x:c r="N646" s="11" t="n">
        <x:f aca="0">SUM(B646-1)</x:f>
        <x:v>-1</x:v>
      </x:c>
      <x:c r="O646" s="11" t="n">
        <x:f aca="0">SUM(F646*1)</x:f>
        <x:v>0</x:v>
      </x:c>
      <x:c r="P646" s="11"/>
      <x:c r="Q646" s="11" t="str">
        <x:f aca="0">A646</x:f>
        <x:v>固格板</x:v>
      </x:c>
      <x:c r="R646" s="1" t="n">
        <x:f aca="0">SUM(C646*1)*F646</x:f>
        <x:v>0</x:v>
      </x:c>
      <x:c r="T646"/>
    </x:row>
    <x:row r="647" ht="22.200000762939453" hidden="0">
      <x:c r="A647" s="10" t="s">
        <x:v>21</x:v>
      </x:c>
      <x:c r="B647" s="10"/>
      <x:c r="C647" s="10"/>
      <x:c r="D647" s="10" t="n">
        <x:v>18</x:v>
      </x:c>
      <x:c r="E647" s="10"/>
      <x:c r="F647" s="10"/>
      <x:c r="G647" s="10"/>
      <x:c r="H647" s="10" t="n">
        <x:v>69</x:v>
      </x:c>
      <x:c r="I647" s="11" t="n">
        <x:f aca="0">ROUND((IF((B647*C647)/90000&lt;1,1))+IF((B647*C647)/90000&gt;=1,(B647*C647)/90000),1.1)</x:f>
        <x:v>1</x:v>
      </x:c>
      <x:c r="J647" s="11" t="n">
        <x:f aca="0">SUM(F647*I647)</x:f>
        <x:v>0</x:v>
      </x:c>
      <x:c r="K647" s="11" t="n">
        <x:f aca="0">SUM(H647*J647)</x:f>
        <x:v>0</x:v>
      </x:c>
      <x:c r="L647" s="11"/>
      <x:c r="M647" s="11" t="n">
        <x:f aca="0">SUM(C647)</x:f>
        <x:v>0</x:v>
      </x:c>
      <x:c r="N647" s="11" t="n">
        <x:f aca="0">SUM(B647-1)</x:f>
        <x:v>-1</x:v>
      </x:c>
      <x:c r="O647" s="11" t="n">
        <x:f aca="0">SUM(F647*1)</x:f>
        <x:v>0</x:v>
      </x:c>
      <x:c r="P647" s="11"/>
      <x:c r="Q647" s="11" t="str">
        <x:f aca="0">A647</x:f>
        <x:v>固格板</x:v>
      </x:c>
      <x:c r="R647" s="1" t="n">
        <x:f aca="0">SUM(C647*1)*F647</x:f>
        <x:v>0</x:v>
      </x:c>
      <x:c r="T647"/>
    </x:row>
    <x:row r="648" ht="22.200000762939453" hidden="0">
      <x:c r="A648" s="10" t="s">
        <x:v>22</x:v>
      </x:c>
      <x:c r="B648" s="10"/>
      <x:c r="C648" s="10"/>
      <x:c r="D648" s="10" t="n">
        <x:v>18</x:v>
      </x:c>
      <x:c r="E648" s="10"/>
      <x:c r="F648" s="10"/>
      <x:c r="G648" s="10"/>
      <x:c r="H648" s="10" t="n">
        <x:v>69</x:v>
      </x:c>
      <x:c r="I648" s="11" t="n">
        <x:f aca="0">ROUND((IF((B648*C648)/90000&lt;1,1))+IF((B648*C648)/90000&gt;=1,(B648*C648)/90000),1.1)</x:f>
        <x:v>1</x:v>
      </x:c>
      <x:c r="J648" s="11" t="n">
        <x:f aca="0">SUM(F648*I648)</x:f>
        <x:v>0</x:v>
      </x:c>
      <x:c r="K648" s="11" t="n">
        <x:f aca="0">SUM(H648*J648)</x:f>
        <x:v>0</x:v>
      </x:c>
      <x:c r="L648" s="11"/>
      <x:c r="M648" s="11" t="n">
        <x:f aca="0">SUM(C648-1)</x:f>
        <x:v>-1</x:v>
      </x:c>
      <x:c r="N648" s="11" t="n">
        <x:f aca="0">SUM(B648-1)</x:f>
        <x:v>-1</x:v>
      </x:c>
      <x:c r="O648" s="11" t="n">
        <x:f aca="0">SUM(F648*1)</x:f>
        <x:v>0</x:v>
      </x:c>
      <x:c r="P648" s="11"/>
      <x:c r="Q648" s="11" t="str">
        <x:f aca="0">A648</x:f>
        <x:v>活格板</x:v>
      </x:c>
      <x:c r="R648" s="1" t="n">
        <x:f aca="0">SUM(B648*2+C648*2)*F648</x:f>
        <x:v>0</x:v>
      </x:c>
      <x:c r="T648"/>
    </x:row>
    <x:row r="649" ht="22.200000762939453" hidden="0">
      <x:c r="A649" s="10" t="s">
        <x:v>22</x:v>
      </x:c>
      <x:c r="B649" s="10"/>
      <x:c r="C649" s="10"/>
      <x:c r="D649" s="10" t="n">
        <x:v>18</x:v>
      </x:c>
      <x:c r="E649" s="10"/>
      <x:c r="F649" s="10"/>
      <x:c r="G649" s="10"/>
      <x:c r="H649" s="10" t="n">
        <x:v>69</x:v>
      </x:c>
      <x:c r="I649" s="11" t="n">
        <x:f aca="0">ROUND((IF((B649*C649)/90000&lt;1,1))+IF((B649*C649)/90000&gt;=1,(B649*C649)/90000),1.1)</x:f>
        <x:v>1</x:v>
      </x:c>
      <x:c r="J649" s="11" t="n">
        <x:f aca="0">SUM(F649*I649)</x:f>
        <x:v>0</x:v>
      </x:c>
      <x:c r="K649" s="11" t="n">
        <x:f aca="0">SUM(H649*J649)</x:f>
        <x:v>0</x:v>
      </x:c>
      <x:c r="L649" s="11"/>
      <x:c r="M649" s="11" t="n">
        <x:f aca="0">SUM(C649-1)</x:f>
        <x:v>-1</x:v>
      </x:c>
      <x:c r="N649" s="11" t="n">
        <x:f aca="0">SUM(B649-1)</x:f>
        <x:v>-1</x:v>
      </x:c>
      <x:c r="O649" s="11" t="n">
        <x:f aca="0">SUM(F649*1)</x:f>
        <x:v>0</x:v>
      </x:c>
      <x:c r="P649" s="11"/>
      <x:c r="Q649" s="11" t="str">
        <x:f aca="0">A649</x:f>
        <x:v>活格板</x:v>
      </x:c>
      <x:c r="R649" s="1" t="n">
        <x:f aca="0">SUM(B649*2+C649*2)*F649</x:f>
        <x:v>0</x:v>
      </x:c>
      <x:c r="T649"/>
    </x:row>
    <x:row r="650" ht="22.200000762939453" hidden="0">
      <x:c r="A650" s="10" t="s">
        <x:v>22</x:v>
      </x:c>
      <x:c r="B650" s="10"/>
      <x:c r="C650" s="10"/>
      <x:c r="D650" s="10" t="n">
        <x:v>18</x:v>
      </x:c>
      <x:c r="E650" s="10"/>
      <x:c r="F650" s="10"/>
      <x:c r="G650" s="10"/>
      <x:c r="H650" s="10" t="n">
        <x:v>69</x:v>
      </x:c>
      <x:c r="I650" s="11" t="n">
        <x:f aca="0">ROUND((IF((B650*C650)/90000&lt;1,1))+IF((B650*C650)/90000&gt;=1,(B650*C650)/90000),1.1)</x:f>
        <x:v>1</x:v>
      </x:c>
      <x:c r="J650" s="11" t="n">
        <x:f aca="0">SUM(F650*I650)</x:f>
        <x:v>0</x:v>
      </x:c>
      <x:c r="K650" s="11" t="n">
        <x:f aca="0">SUM(H650*J650)</x:f>
        <x:v>0</x:v>
      </x:c>
      <x:c r="L650" s="11"/>
      <x:c r="M650" s="11" t="n">
        <x:f aca="0">SUM(C650-1)</x:f>
        <x:v>-1</x:v>
      </x:c>
      <x:c r="N650" s="11" t="n">
        <x:f aca="0">SUM(B650-1)</x:f>
        <x:v>-1</x:v>
      </x:c>
      <x:c r="O650" s="11" t="n">
        <x:f aca="0">SUM(F650*1)</x:f>
        <x:v>0</x:v>
      </x:c>
      <x:c r="P650" s="11"/>
      <x:c r="Q650" s="11" t="str">
        <x:f aca="0">A650</x:f>
        <x:v>活格板</x:v>
      </x:c>
      <x:c r="R650" s="1" t="n">
        <x:f aca="0">SUM(B650*2+C650*2)*F650</x:f>
        <x:v>0</x:v>
      </x:c>
      <x:c r="T650"/>
    </x:row>
    <x:row r="651" ht="22.200000762939453" hidden="0">
      <x:c r="A651" s="10" t="s">
        <x:v>22</x:v>
      </x:c>
      <x:c r="B651" s="10"/>
      <x:c r="C651" s="10"/>
      <x:c r="D651" s="10" t="n">
        <x:v>18</x:v>
      </x:c>
      <x:c r="E651" s="10"/>
      <x:c r="F651" s="10"/>
      <x:c r="G651" s="10"/>
      <x:c r="H651" s="10" t="n">
        <x:v>69</x:v>
      </x:c>
      <x:c r="I651" s="11" t="n">
        <x:f aca="0">ROUND((IF((B651*C651)/90000&lt;1,1))+IF((B651*C651)/90000&gt;=1,(B651*C651)/90000),1.1)</x:f>
        <x:v>1</x:v>
      </x:c>
      <x:c r="J651" s="11" t="n">
        <x:f aca="0">SUM(F651*I651)</x:f>
        <x:v>0</x:v>
      </x:c>
      <x:c r="K651" s="11" t="n">
        <x:f aca="0">SUM(H651*J651)</x:f>
        <x:v>0</x:v>
      </x:c>
      <x:c r="L651" s="11"/>
      <x:c r="M651" s="11" t="n">
        <x:f aca="0">SUM(C651-1)</x:f>
        <x:v>-1</x:v>
      </x:c>
      <x:c r="N651" s="11" t="n">
        <x:f aca="0">SUM(B651-1)</x:f>
        <x:v>-1</x:v>
      </x:c>
      <x:c r="O651" s="11" t="n">
        <x:f aca="0">SUM(F651*1)</x:f>
        <x:v>0</x:v>
      </x:c>
      <x:c r="P651" s="11"/>
      <x:c r="Q651" s="11" t="str">
        <x:f aca="0">A651</x:f>
        <x:v>活格板</x:v>
      </x:c>
      <x:c r="R651" s="1" t="n">
        <x:f aca="0">SUM(B651*2+C651*2)*F651</x:f>
        <x:v>0</x:v>
      </x:c>
      <x:c r="T651"/>
    </x:row>
    <x:row r="652" ht="22.200000762939453" hidden="0">
      <x:c r="A652" s="10" t="s">
        <x:v>23</x:v>
      </x:c>
      <x:c r="B652" s="10"/>
      <x:c r="C652" s="10"/>
      <x:c r="D652" s="10" t="n">
        <x:v>18</x:v>
      </x:c>
      <x:c r="E652" s="10"/>
      <x:c r="F652" s="10"/>
      <x:c r="G652" s="10"/>
      <x:c r="H652" s="10" t="n">
        <x:v>69</x:v>
      </x:c>
      <x:c r="I652" s="11" t="n">
        <x:f aca="0">ROUND((IF((B652*C652)/90000&lt;1,1))+IF((B652*C652)/90000&gt;=1,(B652*C652)/90000),1.1)</x:f>
        <x:v>1</x:v>
      </x:c>
      <x:c r="J652" s="11" t="n">
        <x:f aca="0">SUM(F652*I652)</x:f>
        <x:v>0</x:v>
      </x:c>
      <x:c r="K652" s="11" t="n">
        <x:f aca="0">SUM(H652*J652)</x:f>
        <x:v>0</x:v>
      </x:c>
      <x:c r="L652" s="11"/>
      <x:c r="M652" s="11" t="n">
        <x:f aca="0">SUM(C652-1)</x:f>
        <x:v>-1</x:v>
      </x:c>
      <x:c r="N652" s="11" t="n">
        <x:f aca="0">SUM(B652-1)</x:f>
        <x:v>-1</x:v>
      </x:c>
      <x:c r="O652" s="11" t="n">
        <x:f aca="0">SUM(F652*1)</x:f>
        <x:v>0</x:v>
      </x:c>
      <x:c r="P652" s="11"/>
      <x:c r="Q652" s="11" t="str">
        <x:f aca="0">A652</x:f>
        <x:v>抽框</x:v>
      </x:c>
      <x:c r="R652" s="1" t="n">
        <x:f aca="0">SUM(B652*2+C652*2)*F652</x:f>
        <x:v>0</x:v>
      </x:c>
      <x:c r="T652"/>
    </x:row>
    <x:row r="653" ht="22.200000762939453" hidden="0">
      <x:c r="A653" s="10" t="s">
        <x:v>24</x:v>
      </x:c>
      <x:c r="B653" s="10"/>
      <x:c r="C653" s="10"/>
      <x:c r="D653" s="10" t="n">
        <x:v>18</x:v>
      </x:c>
      <x:c r="E653" s="10"/>
      <x:c r="F653" s="10"/>
      <x:c r="G653" s="10"/>
      <x:c r="H653" s="10" t="n">
        <x:v>69</x:v>
      </x:c>
      <x:c r="I653" s="11" t="n">
        <x:f aca="0">ROUND((IF((B653*C653)/90000&lt;1,1))+IF((B653*C653)/90000&gt;=1,(B653*C653)/90000),1.1)</x:f>
        <x:v>1</x:v>
      </x:c>
      <x:c r="J653" s="11" t="n">
        <x:f aca="0">SUM(F653*I653)</x:f>
        <x:v>0</x:v>
      </x:c>
      <x:c r="K653" s="11" t="n">
        <x:f aca="0">SUM(H653*J653)</x:f>
        <x:v>0</x:v>
      </x:c>
      <x:c r="L653" s="11"/>
      <x:c r="M653" s="11" t="n">
        <x:f aca="0">SUM(C653-1)</x:f>
        <x:v>-1</x:v>
      </x:c>
      <x:c r="N653" s="11" t="n">
        <x:f aca="0">SUM(B653-1)</x:f>
        <x:v>-1</x:v>
      </x:c>
      <x:c r="O653" s="11" t="n">
        <x:f aca="0">SUM(F653*1)</x:f>
        <x:v>0</x:v>
      </x:c>
      <x:c r="P653" s="11"/>
      <x:c r="Q653" s="11" t="str">
        <x:f aca="0">A653</x:f>
        <x:v>框中立</x:v>
      </x:c>
      <x:c r="R653" s="1" t="n">
        <x:f aca="0">SUM(B653*2+C653*2)*F653</x:f>
        <x:v>0</x:v>
      </x:c>
      <x:c r="T653"/>
    </x:row>
    <x:row r="654" ht="22.200000762939453" hidden="0">
      <x:c r="A654" s="10" t="s">
        <x:v>25</x:v>
      </x:c>
      <x:c r="B654" s="10"/>
      <x:c r="C654" s="10"/>
      <x:c r="D654" s="10" t="n">
        <x:v>18</x:v>
      </x:c>
      <x:c r="E654" s="10"/>
      <x:c r="F654" s="10"/>
      <x:c r="G654" s="10"/>
      <x:c r="H654" s="10" t="n">
        <x:v>69</x:v>
      </x:c>
      <x:c r="I654" s="11" t="n">
        <x:f aca="0">ROUND((IF((B654*C654)/90000&lt;1,1))+IF((B654*C654)/90000&gt;=1,(B654*C654)/90000),1.1)</x:f>
        <x:v>1</x:v>
      </x:c>
      <x:c r="J654" s="11" t="n">
        <x:f aca="0">SUM(F654*I654)</x:f>
        <x:v>0</x:v>
      </x:c>
      <x:c r="K654" s="11" t="n">
        <x:f aca="0">SUM(H654*J654)</x:f>
        <x:v>0</x:v>
      </x:c>
      <x:c r="L654" s="11"/>
      <x:c r="M654" s="11" t="n">
        <x:f aca="0">SUM(C654)</x:f>
        <x:v>0</x:v>
      </x:c>
      <x:c r="N654" s="11" t="n">
        <x:f aca="0">SUM(B654-1)</x:f>
        <x:v>-1</x:v>
      </x:c>
      <x:c r="O654" s="11" t="n">
        <x:f aca="0">SUM(F654*1)</x:f>
        <x:v>0</x:v>
      </x:c>
      <x:c r="P654" s="11"/>
      <x:c r="Q654" s="11" t="str">
        <x:f aca="0">A654</x:f>
        <x:v>橫木</x:v>
      </x:c>
      <x:c r="R654" s="1" t="n">
        <x:f aca="0">SUM(C654*2)*F654</x:f>
        <x:v>0</x:v>
      </x:c>
      <x:c r="T654"/>
    </x:row>
    <x:row r="655" ht="22.200000762939453" hidden="0">
      <x:c r="A655" s="10" t="s">
        <x:v>26</x:v>
      </x:c>
      <x:c r="B655" s="10"/>
      <x:c r="C655" s="10"/>
      <x:c r="D655" s="10" t="n">
        <x:v>18</x:v>
      </x:c>
      <x:c r="E655" s="10"/>
      <x:c r="F655" s="10"/>
      <x:c r="G655" s="10"/>
      <x:c r="H655" s="10" t="n">
        <x:v>69</x:v>
      </x:c>
      <x:c r="I655" s="11" t="n">
        <x:f aca="0">ROUND((IF((B655*C655)/90000&lt;1,1))+IF((B655*C655)/90000&gt;=1,(B655*C655)/90000),1.1)</x:f>
        <x:v>1</x:v>
      </x:c>
      <x:c r="J655" s="11" t="n">
        <x:f aca="0">SUM(F655*I655)</x:f>
        <x:v>0</x:v>
      </x:c>
      <x:c r="K655" s="11" t="n">
        <x:f aca="0">SUM(H655*J655)</x:f>
        <x:v>0</x:v>
      </x:c>
      <x:c r="L655" s="11"/>
      <x:c r="M655" s="11" t="n">
        <x:f aca="0">SUM(C655)</x:f>
        <x:v>0</x:v>
      </x:c>
      <x:c r="N655" s="11" t="n">
        <x:f aca="0">SUM(B655-1)</x:f>
        <x:v>-1</x:v>
      </x:c>
      <x:c r="O655" s="11" t="n">
        <x:f aca="0">SUM(F655*1)</x:f>
        <x:v>0</x:v>
      </x:c>
      <x:c r="P655" s="11"/>
      <x:c r="Q655" s="11" t="str">
        <x:f aca="0">A655</x:f>
        <x:v>前抽牆</x:v>
      </x:c>
      <x:c r="R655" s="1" t="n">
        <x:f aca="0">SUM(C655*2)*F655</x:f>
        <x:v>0</x:v>
      </x:c>
      <x:c r="T655"/>
    </x:row>
    <x:row r="656" ht="22.200000762939453" hidden="0">
      <x:c r="A656" s="10" t="s">
        <x:v>26</x:v>
      </x:c>
      <x:c r="B656" s="10"/>
      <x:c r="C656" s="10"/>
      <x:c r="D656" s="10" t="n">
        <x:v>18</x:v>
      </x:c>
      <x:c r="E656" s="10"/>
      <x:c r="F656" s="10"/>
      <x:c r="G656" s="10"/>
      <x:c r="H656" s="10" t="n">
        <x:v>69</x:v>
      </x:c>
      <x:c r="I656" s="11" t="n">
        <x:f aca="0">ROUND((IF((B656*C656)/90000&lt;1,1))+IF((B656*C656)/90000&gt;=1,(B656*C656)/90000),1.1)</x:f>
        <x:v>1</x:v>
      </x:c>
      <x:c r="J656" s="11" t="n">
        <x:f aca="0">SUM(F656*I656)</x:f>
        <x:v>0</x:v>
      </x:c>
      <x:c r="K656" s="11" t="n">
        <x:f aca="0">SUM(H656*J656)</x:f>
        <x:v>0</x:v>
      </x:c>
      <x:c r="L656" s="11"/>
      <x:c r="M656" s="11" t="n">
        <x:f aca="0">SUM(C656)</x:f>
        <x:v>0</x:v>
      </x:c>
      <x:c r="N656" s="11" t="n">
        <x:f aca="0">SUM(B656-1)</x:f>
        <x:v>-1</x:v>
      </x:c>
      <x:c r="O656" s="11" t="n">
        <x:f aca="0">SUM(F656*1)</x:f>
        <x:v>0</x:v>
      </x:c>
      <x:c r="P656" s="11"/>
      <x:c r="Q656" s="11" t="str">
        <x:f aca="0">A656</x:f>
        <x:v>前抽牆</x:v>
      </x:c>
      <x:c r="R656" s="1" t="n">
        <x:f aca="0">SUM(C656*2)*F656</x:f>
        <x:v>0</x:v>
      </x:c>
      <x:c r="T656"/>
    </x:row>
    <x:row r="657" ht="22.200000762939453" hidden="0">
      <x:c r="A657" s="10" t="s">
        <x:v>27</x:v>
      </x:c>
      <x:c r="B657" s="10"/>
      <x:c r="C657" s="10"/>
      <x:c r="D657" s="10" t="n">
        <x:v>18</x:v>
      </x:c>
      <x:c r="E657" s="10"/>
      <x:c r="F657" s="10"/>
      <x:c r="G657" s="10"/>
      <x:c r="H657" s="10" t="n">
        <x:v>69</x:v>
      </x:c>
      <x:c r="I657" s="11" t="n">
        <x:f aca="0">ROUND((IF((B657*C657)/90000&lt;1,1))+IF((B657*C657)/90000&gt;=1,(B657*C657)/90000),1.1)</x:f>
        <x:v>1</x:v>
      </x:c>
      <x:c r="J657" s="11" t="n">
        <x:f aca="0">SUM(F657*I657)</x:f>
        <x:v>0</x:v>
      </x:c>
      <x:c r="K657" s="11" t="n">
        <x:f aca="0">SUM(H657*J657)</x:f>
        <x:v>0</x:v>
      </x:c>
      <x:c r="L657" s="11"/>
      <x:c r="M657" s="11" t="n">
        <x:f aca="0">SUM(C657)</x:f>
        <x:v>0</x:v>
      </x:c>
      <x:c r="N657" s="11" t="n">
        <x:f aca="0">SUM(B657-1)</x:f>
        <x:v>-1</x:v>
      </x:c>
      <x:c r="O657" s="11" t="n">
        <x:f aca="0">SUM(F657*1)</x:f>
        <x:v>0</x:v>
      </x:c>
      <x:c r="P657" s="11"/>
      <x:c r="Q657" s="11" t="str">
        <x:f aca="0">A657</x:f>
        <x:v>邊抽牆</x:v>
      </x:c>
      <x:c r="R657" s="1" t="n">
        <x:f aca="0">SUM(C657*2)*F657</x:f>
        <x:v>0</x:v>
      </x:c>
      <x:c r="T657"/>
    </x:row>
    <x:row r="658" ht="22.200000762939453" hidden="0">
      <x:c r="A658" s="10" t="s">
        <x:v>27</x:v>
      </x:c>
      <x:c r="B658" s="10"/>
      <x:c r="C658" s="10"/>
      <x:c r="D658" s="10" t="n">
        <x:v>18</x:v>
      </x:c>
      <x:c r="E658" s="10"/>
      <x:c r="F658" s="10"/>
      <x:c r="G658" s="10"/>
      <x:c r="H658" s="10" t="n">
        <x:v>69</x:v>
      </x:c>
      <x:c r="I658" s="11" t="n">
        <x:f aca="0">ROUND((IF((B658*C658)/90000&lt;1,1))+IF((B658*C658)/90000&gt;=1,(B658*C658)/90000),1.1)</x:f>
        <x:v>1</x:v>
      </x:c>
      <x:c r="J658" s="11" t="n">
        <x:f aca="0">SUM(F658*I658)</x:f>
        <x:v>0</x:v>
      </x:c>
      <x:c r="K658" s="11" t="n">
        <x:f aca="0">SUM(H658*J658)</x:f>
        <x:v>0</x:v>
      </x:c>
      <x:c r="L658" s="11"/>
      <x:c r="M658" s="11" t="n">
        <x:f aca="0">SUM(C658)</x:f>
        <x:v>0</x:v>
      </x:c>
      <x:c r="N658" s="11" t="n">
        <x:f aca="0">SUM(B658-1)</x:f>
        <x:v>-1</x:v>
      </x:c>
      <x:c r="O658" s="11" t="n">
        <x:f aca="0">SUM(F658*1)</x:f>
        <x:v>0</x:v>
      </x:c>
      <x:c r="P658" s="11"/>
      <x:c r="Q658" s="11" t="str">
        <x:f aca="0">A658</x:f>
        <x:v>邊抽牆</x:v>
      </x:c>
      <x:c r="R658" s="1" t="n">
        <x:f aca="0">SUM(C658*2)*F658</x:f>
        <x:v>0</x:v>
      </x:c>
      <x:c r="T658"/>
    </x:row>
    <x:row r="659" ht="22.200000762939453" hidden="0">
      <x:c r="A659" s="10" t="s">
        <x:v>28</x:v>
      </x:c>
      <x:c r="B659" s="10"/>
      <x:c r="C659" s="10"/>
      <x:c r="D659" s="10" t="n">
        <x:v>8</x:v>
      </x:c>
      <x:c r="E659" s="10"/>
      <x:c r="F659" s="10"/>
      <x:c r="G659" s="10"/>
      <x:c r="H659" s="10" t="n">
        <x:v>50</x:v>
      </x:c>
      <x:c r="I659" s="11" t="n">
        <x:f aca="0">ROUND((IF((B659*C659)/90000&lt;1,1))+IF((B659*C659)/90000&gt;=1,(B659*C659)/90000),1.1)</x:f>
        <x:v>1</x:v>
      </x:c>
      <x:c r="J659" s="11" t="n">
        <x:f aca="0">SUM(F659*I659)</x:f>
        <x:v>0</x:v>
      </x:c>
      <x:c r="K659" s="11" t="n">
        <x:f aca="0">SUM(H659*J659)</x:f>
        <x:v>0</x:v>
      </x:c>
      <x:c r="L659" s="11"/>
      <x:c r="M659" s="11" t="n">
        <x:f aca="0">SUM(C659)</x:f>
        <x:v>0</x:v>
      </x:c>
      <x:c r="N659" s="11" t="n">
        <x:f aca="0">SUM(B659)</x:f>
        <x:v>0</x:v>
      </x:c>
      <x:c r="O659" s="11" t="n">
        <x:f aca="0">SUM(F659*1)</x:f>
        <x:v>0</x:v>
      </x:c>
      <x:c r="P659" s="11"/>
      <x:c r="Q659" s="11" t="str">
        <x:f aca="0">A659</x:f>
        <x:v>抽底板</x:v>
      </x:c>
      <x:c r="T659"/>
    </x:row>
    <x:row r="660" ht="22.200000762939453" hidden="0">
      <x:c r="A660" s="10" t="s">
        <x:v>28</x:v>
      </x:c>
      <x:c r="B660" s="10"/>
      <x:c r="C660" s="10"/>
      <x:c r="D660" s="10" t="n">
        <x:v>8</x:v>
      </x:c>
      <x:c r="E660" s="10"/>
      <x:c r="F660" s="10"/>
      <x:c r="G660" s="10"/>
      <x:c r="H660" s="10" t="n">
        <x:v>50</x:v>
      </x:c>
      <x:c r="I660" s="11" t="n">
        <x:f aca="0">ROUND((IF((B660*C660)/90000&lt;1,1))+IF((B660*C660)/90000&gt;=1,(B660*C660)/90000),1.1)</x:f>
        <x:v>1</x:v>
      </x:c>
      <x:c r="J660" s="11" t="n">
        <x:f aca="0">SUM(F660*I660)</x:f>
        <x:v>0</x:v>
      </x:c>
      <x:c r="K660" s="11" t="n">
        <x:f aca="0">SUM(H660*J660)</x:f>
        <x:v>0</x:v>
      </x:c>
      <x:c r="L660" s="11"/>
      <x:c r="M660" s="11" t="n">
        <x:f aca="0">SUM(C660)</x:f>
        <x:v>0</x:v>
      </x:c>
      <x:c r="N660" s="11" t="n">
        <x:f aca="0">SUM(B660)</x:f>
        <x:v>0</x:v>
      </x:c>
      <x:c r="O660" s="11" t="n">
        <x:f aca="0">SUM(F660*1)</x:f>
        <x:v>0</x:v>
      </x:c>
      <x:c r="P660" s="11"/>
      <x:c r="Q660" s="11" t="str">
        <x:f aca="0">A660</x:f>
        <x:v>抽底板</x:v>
      </x:c>
      <x:c r="T660"/>
    </x:row>
    <x:row r="661" ht="22.200000762939453" hidden="0">
      <x:c r="A661" s="12" t="s">
        <x:v>64</x:v>
      </x:c>
      <x:c r="B661" s="10"/>
      <x:c r="C661" s="10"/>
      <x:c r="D661" s="10" t="n">
        <x:v>18</x:v>
      </x:c>
      <x:c r="E661" s="10"/>
      <x:c r="F661" s="10"/>
      <x:c r="G661" s="10"/>
      <x:c r="H661" s="10" t="n">
        <x:v>84</x:v>
      </x:c>
      <x:c r="I661" s="11" t="n">
        <x:f aca="0">ROUND((IF((B661*C661)/90000&lt;1,1))+IF((B661*C661)/90000&gt;=1,(B661*C661)/90000),1.1)</x:f>
        <x:v>1</x:v>
      </x:c>
      <x:c r="J661" s="11" t="n">
        <x:f aca="0">SUM(F661*I661)</x:f>
        <x:v>0</x:v>
      </x:c>
      <x:c r="K661" s="11" t="n">
        <x:f aca="0">SUM(H661*J661)</x:f>
        <x:v>0</x:v>
      </x:c>
      <x:c r="L661" s="11"/>
      <x:c r="M661" s="11" t="n">
        <x:f aca="0">SUM(C661-2)</x:f>
        <x:v>-2</x:v>
      </x:c>
      <x:c r="N661" s="11" t="n">
        <x:f aca="0">SUM(B661-2)</x:f>
        <x:v>-2</x:v>
      </x:c>
      <x:c r="O661" s="11" t="n">
        <x:f aca="0">SUM(F661*1)</x:f>
        <x:v>0</x:v>
      </x:c>
      <x:c r="P661" s="11"/>
      <x:c r="Q661" s="11" t="str">
        <x:f aca="0">A661</x:f>
        <x:v>4E門板</x:v>
      </x:c>
      <x:c r="S661" s="1" t="n">
        <x:f aca="0">SUM(B661*2+C661*2)*F661</x:f>
        <x:v>0</x:v>
      </x:c>
      <x:c r="T661"/>
    </x:row>
    <x:row r="662" ht="22.200000762939453" hidden="0">
      <x:c r="A662" s="12" t="s">
        <x:v>64</x:v>
      </x:c>
      <x:c r="B662" s="10"/>
      <x:c r="C662" s="10"/>
      <x:c r="D662" s="10" t="n">
        <x:v>18</x:v>
      </x:c>
      <x:c r="E662" s="10"/>
      <x:c r="F662" s="10"/>
      <x:c r="G662" s="10"/>
      <x:c r="H662" s="10" t="n">
        <x:v>84</x:v>
      </x:c>
      <x:c r="I662" s="11" t="n">
        <x:f aca="0">ROUND((IF((B662*C662)/90000&lt;1,1))+IF((B662*C662)/90000&gt;=1,(B662*C662)/90000),1.1)</x:f>
        <x:v>1</x:v>
      </x:c>
      <x:c r="J662" s="11" t="n">
        <x:f aca="0">SUM(F662*I662)</x:f>
        <x:v>0</x:v>
      </x:c>
      <x:c r="K662" s="11" t="n">
        <x:f aca="0">SUM(H662*J662)</x:f>
        <x:v>0</x:v>
      </x:c>
      <x:c r="L662" s="11"/>
      <x:c r="M662" s="11" t="n">
        <x:f aca="0">SUM(C662-2)</x:f>
        <x:v>-2</x:v>
      </x:c>
      <x:c r="N662" s="11" t="n">
        <x:f aca="0">SUM(B662-2)</x:f>
        <x:v>-2</x:v>
      </x:c>
      <x:c r="O662" s="11" t="n">
        <x:f aca="0">SUM(F662*1)</x:f>
        <x:v>0</x:v>
      </x:c>
      <x:c r="P662" s="11"/>
      <x:c r="Q662" s="11" t="str">
        <x:f aca="0">A662</x:f>
        <x:v>4E門板</x:v>
      </x:c>
      <x:c r="S662" s="1" t="n">
        <x:f aca="0">SUM(B662*2+C662*2)*F662</x:f>
        <x:v>0</x:v>
      </x:c>
      <x:c r="T662"/>
    </x:row>
    <x:row r="663" ht="22.200000762939453" hidden="0">
      <x:c r="A663" s="12" t="s">
        <x:v>64</x:v>
      </x:c>
      <x:c r="B663" s="10"/>
      <x:c r="C663" s="10"/>
      <x:c r="D663" s="10" t="n">
        <x:v>18</x:v>
      </x:c>
      <x:c r="E663" s="10"/>
      <x:c r="F663" s="10"/>
      <x:c r="G663" s="10"/>
      <x:c r="H663" s="10" t="n">
        <x:v>84</x:v>
      </x:c>
      <x:c r="I663" s="11" t="n">
        <x:f aca="0">ROUND((IF((B663*C663)/90000&lt;1,1))+IF((B663*C663)/90000&gt;=1,(B663*C663)/90000),1.1)</x:f>
        <x:v>1</x:v>
      </x:c>
      <x:c r="J663" s="11" t="n">
        <x:f aca="0">SUM(F663*I663)</x:f>
        <x:v>0</x:v>
      </x:c>
      <x:c r="K663" s="11" t="n">
        <x:f aca="0">SUM(H663*J663)</x:f>
        <x:v>0</x:v>
      </x:c>
      <x:c r="L663" s="11"/>
      <x:c r="M663" s="11" t="n">
        <x:f aca="0">SUM(C663-2)</x:f>
        <x:v>-2</x:v>
      </x:c>
      <x:c r="N663" s="11" t="n">
        <x:f aca="0">SUM(B663-2)</x:f>
        <x:v>-2</x:v>
      </x:c>
      <x:c r="O663" s="11" t="n">
        <x:f aca="0">SUM(F663*1)</x:f>
        <x:v>0</x:v>
      </x:c>
      <x:c r="P663" s="11"/>
      <x:c r="Q663" s="11" t="str">
        <x:f aca="0">A663</x:f>
        <x:v>4E門板</x:v>
      </x:c>
      <x:c r="S663" s="1" t="n">
        <x:f aca="0">SUM(B663*2+C663*2)*F663</x:f>
        <x:v>0</x:v>
      </x:c>
      <x:c r="T663"/>
    </x:row>
    <x:row r="664" ht="22.200000762939453" hidden="0">
      <x:c r="A664" s="10" t="s">
        <x:v>30</x:v>
      </x:c>
      <x:c r="B664" s="10"/>
      <x:c r="C664" s="10"/>
      <x:c r="D664" s="10" t="n">
        <x:v>18</x:v>
      </x:c>
      <x:c r="E664" s="10"/>
      <x:c r="F664" s="10"/>
      <x:c r="G664" s="10"/>
      <x:c r="H664" s="10" t="n">
        <x:v>84</x:v>
      </x:c>
      <x:c r="I664" s="11" t="n">
        <x:f aca="0">ROUND((IF((B664*C664)/90000&lt;1,1))+IF((B664*C664)/90000&gt;=1,(B664*C664)/90000),1.1)</x:f>
        <x:v>1</x:v>
      </x:c>
      <x:c r="J664" s="11" t="n">
        <x:f aca="0">SUM(F664*I664)</x:f>
        <x:v>0</x:v>
      </x:c>
      <x:c r="K664" s="11" t="n">
        <x:f aca="0">SUM(H664*J664)</x:f>
        <x:v>0</x:v>
      </x:c>
      <x:c r="L664" s="11"/>
      <x:c r="M664" s="11" t="n">
        <x:f aca="0">SUM(C664-2)</x:f>
        <x:v>-2</x:v>
      </x:c>
      <x:c r="N664" s="11" t="n">
        <x:f aca="0">SUM(B664-2)</x:f>
        <x:v>-2</x:v>
      </x:c>
      <x:c r="O664" s="11" t="n">
        <x:f aca="0">SUM(F664*1)</x:f>
        <x:v>0</x:v>
      </x:c>
      <x:c r="P664" s="11"/>
      <x:c r="Q664" s="11" t="str">
        <x:f aca="0">A664</x:f>
        <x:v>假門板</x:v>
      </x:c>
      <x:c r="S664" s="1" t="n">
        <x:f aca="0">SUM(B664*2+C664*2)*F664</x:f>
        <x:v>0</x:v>
      </x:c>
      <x:c r="T664"/>
    </x:row>
    <x:row r="665" ht="22.200000762939453" hidden="0">
      <x:c r="A665" s="10" t="s">
        <x:v>31</x:v>
      </x:c>
      <x:c r="B665" s="10"/>
      <x:c r="C665" s="10"/>
      <x:c r="D665" s="10" t="n">
        <x:v>18</x:v>
      </x:c>
      <x:c r="E665" s="10"/>
      <x:c r="F665" s="10"/>
      <x:c r="G665" s="10"/>
      <x:c r="H665" s="10" t="n">
        <x:v>84</x:v>
      </x:c>
      <x:c r="I665" s="11" t="n">
        <x:f aca="0">ROUND((IF((B665*C665)/90000&lt;1,1))+IF((B665*C665)/90000&gt;=1,(B665*C665)/90000),1.1)</x:f>
        <x:v>1</x:v>
      </x:c>
      <x:c r="J665" s="11" t="n">
        <x:f aca="0">SUM(F665*I665)</x:f>
        <x:v>0</x:v>
      </x:c>
      <x:c r="K665" s="11" t="n">
        <x:f aca="0">SUM(H665*J665)</x:f>
        <x:v>0</x:v>
      </x:c>
      <x:c r="L665" s="11"/>
      <x:c r="M665" s="11" t="n">
        <x:f aca="0">SUM(C665-2)</x:f>
        <x:v>-2</x:v>
      </x:c>
      <x:c r="N665" s="11" t="n">
        <x:f aca="0">SUM(B665-2)</x:f>
        <x:v>-2</x:v>
      </x:c>
      <x:c r="O665" s="11" t="n">
        <x:f aca="0">SUM(F665*1)</x:f>
        <x:v>0</x:v>
      </x:c>
      <x:c r="P665" s="11"/>
      <x:c r="Q665" s="11" t="str">
        <x:f aca="0">A665</x:f>
        <x:v>屜頭</x:v>
      </x:c>
      <x:c r="S665" s="1" t="n">
        <x:f aca="0">SUM(B665*2+C665*2)*F665</x:f>
        <x:v>0</x:v>
      </x:c>
      <x:c r="T665"/>
    </x:row>
    <x:row r="666" ht="22.200000762939453" hidden="0">
      <x:c r="A666" s="10" t="s">
        <x:v>32</x:v>
      </x:c>
      <x:c r="B666" s="10"/>
      <x:c r="C666" s="10"/>
      <x:c r="D666" s="10" t="n">
        <x:v>18</x:v>
      </x:c>
      <x:c r="E666" s="10"/>
      <x:c r="F666" s="10"/>
      <x:c r="G666" s="10"/>
      <x:c r="H666" s="10" t="n">
        <x:v>74</x:v>
      </x:c>
      <x:c r="I666" s="11" t="n">
        <x:f aca="0">ROUND((IF((B666*C666)/90000&lt;1,1))+IF((B666*C666)/90000&gt;=1,(B666*C666)/90000),1.1)</x:f>
        <x:v>1</x:v>
      </x:c>
      <x:c r="J666" s="11" t="n">
        <x:f aca="0">SUM(F666*I666)</x:f>
        <x:v>0</x:v>
      </x:c>
      <x:c r="K666" s="11" t="n">
        <x:f aca="0">SUM(H666*J666)</x:f>
        <x:v>0</x:v>
      </x:c>
      <x:c r="L666" s="11"/>
      <x:c r="M666" s="11" t="n">
        <x:f aca="0">SUM(C666-1)</x:f>
        <x:v>-1</x:v>
      </x:c>
      <x:c r="N666" s="11" t="n">
        <x:f aca="0">SUM(B666)</x:f>
        <x:v>0</x:v>
      </x:c>
      <x:c r="O666" s="11" t="n">
        <x:f aca="0">SUM(F666*1)</x:f>
        <x:v>0</x:v>
      </x:c>
      <x:c r="P666" s="11"/>
      <x:c r="Q666" s="11" t="str">
        <x:f aca="0">A666</x:f>
        <x:v>推門</x:v>
      </x:c>
      <x:c r="R666" s="1" t="n">
        <x:f aca="0">SUM(B666*2+C666*2)*F666</x:f>
        <x:v>0</x:v>
      </x:c>
      <x:c r="T666"/>
    </x:row>
    <x:row r="667" ht="22.200000762939453" hidden="0">
      <x:c r="A667" s="10" t="s">
        <x:v>33</x:v>
      </x:c>
      <x:c r="B667" s="10"/>
      <x:c r="C667" s="10"/>
      <x:c r="D667" s="10" t="n">
        <x:v>18</x:v>
      </x:c>
      <x:c r="E667" s="10"/>
      <x:c r="F667" s="10"/>
      <x:c r="G667" s="10"/>
      <x:c r="H667" s="10" t="n">
        <x:v>74</x:v>
      </x:c>
      <x:c r="I667" s="11" t="n">
        <x:f aca="0">ROUND((IF((B667*C667)/90000&lt;1,1))+IF((B667*C667)/90000&gt;=1,(B667*C667)/90000),1.1)</x:f>
        <x:v>1</x:v>
      </x:c>
      <x:c r="J667" s="11" t="n">
        <x:f aca="0">SUM(F667*I667)</x:f>
        <x:v>0</x:v>
      </x:c>
      <x:c r="K667" s="11" t="n">
        <x:f aca="0">SUM(H667*J667)</x:f>
        <x:v>0</x:v>
      </x:c>
      <x:c r="L667" s="11"/>
      <x:c r="M667" s="11" t="n">
        <x:f aca="0">SUM(C667)</x:f>
        <x:v>0</x:v>
      </x:c>
      <x:c r="N667" s="11" t="n">
        <x:f aca="0">SUM(B667-1)</x:f>
        <x:v>-1</x:v>
      </x:c>
      <x:c r="O667" s="11" t="n">
        <x:f aca="0">SUM(F667*1)</x:f>
        <x:v>0</x:v>
      </x:c>
      <x:c r="P667" s="11"/>
      <x:c r="Q667" s="11" t="str">
        <x:f aca="0">A667</x:f>
        <x:v>側封板</x:v>
      </x:c>
      <x:c r="R667" s="1" t="n">
        <x:f aca="0">SUM(+C667*1)*F667</x:f>
        <x:v>0</x:v>
      </x:c>
      <x:c r="S667" s="1" t="n">
        <x:f aca="0">SUM(C667*1)*F667</x:f>
        <x:v>0</x:v>
      </x:c>
      <x:c r="T667"/>
    </x:row>
    <x:row r="668" ht="22.200000762939453" hidden="0">
      <x:c r="A668" s="10" t="s">
        <x:v>33</x:v>
      </x:c>
      <x:c r="B668" s="10"/>
      <x:c r="C668" s="10"/>
      <x:c r="D668" s="10" t="n">
        <x:v>18</x:v>
      </x:c>
      <x:c r="E668" s="10"/>
      <x:c r="F668" s="10"/>
      <x:c r="G668" s="10"/>
      <x:c r="H668" s="10" t="n">
        <x:v>74</x:v>
      </x:c>
      <x:c r="I668" s="11" t="n">
        <x:f aca="0">ROUND((IF((B668*C668)/90000&lt;1,1))+IF((B668*C668)/90000&gt;=1,(B668*C668)/90000),1.1)</x:f>
        <x:v>1</x:v>
      </x:c>
      <x:c r="J668" s="11" t="n">
        <x:f aca="0">SUM(F668*I668)</x:f>
        <x:v>0</x:v>
      </x:c>
      <x:c r="K668" s="11" t="n">
        <x:f aca="0">SUM(H668*J668)</x:f>
        <x:v>0</x:v>
      </x:c>
      <x:c r="L668" s="11"/>
      <x:c r="M668" s="11" t="n">
        <x:f aca="0">SUM(C668)</x:f>
        <x:v>0</x:v>
      </x:c>
      <x:c r="N668" s="11" t="n">
        <x:f aca="0">SUM(B668-1)</x:f>
        <x:v>-1</x:v>
      </x:c>
      <x:c r="O668" s="11" t="n">
        <x:f aca="0">SUM(F668*1)</x:f>
        <x:v>0</x:v>
      </x:c>
      <x:c r="P668" s="11"/>
      <x:c r="Q668" s="11" t="str">
        <x:f aca="0">A668</x:f>
        <x:v>側封板</x:v>
      </x:c>
      <x:c r="R668" s="1" t="n">
        <x:f aca="0">SUM(+C668*1)*F668</x:f>
        <x:v>0</x:v>
      </x:c>
      <x:c r="S668" s="1" t="n">
        <x:f aca="0">SUM(C668*1)*F668</x:f>
        <x:v>0</x:v>
      </x:c>
      <x:c r="T668"/>
    </x:row>
    <x:row r="669" ht="22.200000762939453" hidden="0">
      <x:c r="A669" s="10" t="s">
        <x:v>34</x:v>
      </x:c>
      <x:c r="B669" s="10"/>
      <x:c r="C669" s="10"/>
      <x:c r="D669" s="10" t="n">
        <x:v>18</x:v>
      </x:c>
      <x:c r="E669" s="10"/>
      <x:c r="F669" s="10"/>
      <x:c r="G669" s="10"/>
      <x:c r="H669" s="10" t="n">
        <x:v>74</x:v>
      </x:c>
      <x:c r="I669" s="11" t="n">
        <x:f aca="0">ROUND((IF((B669*C669)/90000&lt;1,1))+IF((B669*C669)/90000&gt;=1,(B669*C669)/90000),1.1)</x:f>
        <x:v>1</x:v>
      </x:c>
      <x:c r="J669" s="11" t="n">
        <x:f aca="0">SUM(F669*I669)</x:f>
        <x:v>0</x:v>
      </x:c>
      <x:c r="K669" s="11" t="n">
        <x:f aca="0">SUM(H669*J669)</x:f>
        <x:v>0</x:v>
      </x:c>
      <x:c r="L669" s="11"/>
      <x:c r="M669" s="11" t="n">
        <x:f aca="0">SUM(C669)</x:f>
        <x:v>0</x:v>
      </x:c>
      <x:c r="N669" s="11" t="n">
        <x:f aca="0">SUM(B669-1)</x:f>
        <x:v>-1</x:v>
      </x:c>
      <x:c r="O669" s="11" t="n">
        <x:f aca="0">SUM(F669*1)</x:f>
        <x:v>0</x:v>
      </x:c>
      <x:c r="P669" s="11"/>
      <x:c r="Q669" s="11" t="str">
        <x:f aca="0">A669</x:f>
        <x:v>軌道板</x:v>
      </x:c>
      <x:c r="R669" s="1" t="n">
        <x:f aca="0">SUM(+C669*1)*F669</x:f>
        <x:v>0</x:v>
      </x:c>
      <x:c r="S669" s="1" t="n">
        <x:f aca="0">SUM(C669*1)*F669</x:f>
        <x:v>0</x:v>
      </x:c>
      <x:c r="T669"/>
    </x:row>
    <x:row r="670" ht="22.200000762939453" hidden="0">
      <x:c r="A670" s="10" t="s">
        <x:v>34</x:v>
      </x:c>
      <x:c r="B670" s="10"/>
      <x:c r="C670" s="10"/>
      <x:c r="D670" s="10" t="n">
        <x:v>18</x:v>
      </x:c>
      <x:c r="E670" s="10"/>
      <x:c r="F670" s="10"/>
      <x:c r="G670" s="10"/>
      <x:c r="H670" s="10" t="n">
        <x:v>74</x:v>
      </x:c>
      <x:c r="I670" s="11" t="n">
        <x:f aca="0">ROUND((IF((B670*C670)/90000&lt;1,1))+IF((B670*C670)/90000&gt;=1,(B670*C670)/90000),1.1)</x:f>
        <x:v>1</x:v>
      </x:c>
      <x:c r="J670" s="11" t="n">
        <x:f aca="0">SUM(F670*I670)</x:f>
        <x:v>0</x:v>
      </x:c>
      <x:c r="K670" s="11" t="n">
        <x:f aca="0">SUM(H670*J670)</x:f>
        <x:v>0</x:v>
      </x:c>
      <x:c r="L670" s="11"/>
      <x:c r="M670" s="11" t="n">
        <x:f aca="0">SUM(C670)</x:f>
        <x:v>0</x:v>
      </x:c>
      <x:c r="N670" s="11" t="n">
        <x:f aca="0">SUM(B670-1)</x:f>
        <x:v>-1</x:v>
      </x:c>
      <x:c r="O670" s="11" t="n">
        <x:f aca="0">SUM(F670*1)</x:f>
        <x:v>0</x:v>
      </x:c>
      <x:c r="P670" s="11"/>
      <x:c r="Q670" s="11" t="str">
        <x:f aca="0">A670</x:f>
        <x:v>軌道板</x:v>
      </x:c>
      <x:c r="R670" s="1" t="n">
        <x:f aca="0">SUM(+C670*1)*F670</x:f>
        <x:v>0</x:v>
      </x:c>
      <x:c r="S670" s="1" t="n">
        <x:f aca="0">SUM(C670*1)*F670</x:f>
        <x:v>0</x:v>
      </x:c>
      <x:c r="T670"/>
    </x:row>
    <x:row r="671" ht="22.200000762939453" hidden="0">
      <x:c r="A671" s="10" t="s">
        <x:v>35</x:v>
      </x:c>
      <x:c r="B671" s="10"/>
      <x:c r="C671" s="10"/>
      <x:c r="D671" s="10" t="n">
        <x:v>18</x:v>
      </x:c>
      <x:c r="E671" s="10"/>
      <x:c r="F671" s="10"/>
      <x:c r="G671" s="10"/>
      <x:c r="H671" s="10" t="n">
        <x:v>69</x:v>
      </x:c>
      <x:c r="I671" s="11" t="n">
        <x:f aca="0">ROUND((IF((B671*C671)/90000&lt;1,1))+IF((B671*C671)/90000&gt;=1,(B671*C671)/90000),1.1)</x:f>
        <x:v>1</x:v>
      </x:c>
      <x:c r="J671" s="11" t="n">
        <x:f aca="0">SUM(F671*I671)</x:f>
        <x:v>0</x:v>
      </x:c>
      <x:c r="K671" s="11" t="n">
        <x:f aca="0">SUM(H671*J671)</x:f>
        <x:v>0</x:v>
      </x:c>
      <x:c r="L671" s="11"/>
      <x:c r="M671" s="11" t="n">
        <x:f aca="0">SUM(C671)</x:f>
        <x:v>0</x:v>
      </x:c>
      <x:c r="N671" s="11" t="n">
        <x:f aca="0">SUM(B671-1)</x:f>
        <x:v>-1</x:v>
      </x:c>
      <x:c r="O671" s="11" t="n">
        <x:f aca="0">SUM(F671*1)</x:f>
        <x:v>0</x:v>
      </x:c>
      <x:c r="P671" s="11"/>
      <x:c r="Q671" s="11" t="str">
        <x:f aca="0">A671</x:f>
        <x:v>擋板</x:v>
      </x:c>
      <x:c r="R671" s="1" t="n">
        <x:f aca="0">SUM(C671*2)*F671</x:f>
        <x:v>0</x:v>
      </x:c>
      <x:c r="T671"/>
    </x:row>
    <x:row r="672" ht="22.200000762939453" hidden="0">
      <x:c r="A672" s="10" t="s">
        <x:v>35</x:v>
      </x:c>
      <x:c r="B672" s="10"/>
      <x:c r="C672" s="10"/>
      <x:c r="D672" s="10" t="n">
        <x:v>18</x:v>
      </x:c>
      <x:c r="E672" s="10"/>
      <x:c r="F672" s="10"/>
      <x:c r="G672" s="10"/>
      <x:c r="H672" s="10" t="n">
        <x:v>69</x:v>
      </x:c>
      <x:c r="I672" s="11" t="n">
        <x:f aca="0">ROUND((IF((B672*C672)/90000&lt;1,1))+IF((B672*C672)/90000&gt;=1,(B672*C672)/90000),1.1)</x:f>
        <x:v>1</x:v>
      </x:c>
      <x:c r="J672" s="11" t="n">
        <x:f aca="0">SUM(F672*I672)</x:f>
        <x:v>0</x:v>
      </x:c>
      <x:c r="K672" s="11" t="n">
        <x:f aca="0">SUM(H672*J672)</x:f>
        <x:v>0</x:v>
      </x:c>
      <x:c r="L672" s="11"/>
      <x:c r="M672" s="11" t="n">
        <x:f aca="0">SUM(C672)</x:f>
        <x:v>0</x:v>
      </x:c>
      <x:c r="N672" s="11" t="n">
        <x:f aca="0">SUM(B672-1)</x:f>
        <x:v>-1</x:v>
      </x:c>
      <x:c r="O672" s="11" t="n">
        <x:f aca="0">SUM(F672*1)</x:f>
        <x:v>0</x:v>
      </x:c>
      <x:c r="P672" s="11"/>
      <x:c r="Q672" s="11" t="str">
        <x:f aca="0">A672</x:f>
        <x:v>擋板</x:v>
      </x:c>
      <x:c r="R672" s="1" t="n">
        <x:f aca="0">SUM(C672*2)*F672</x:f>
        <x:v>0</x:v>
      </x:c>
      <x:c r="T672"/>
    </x:row>
    <x:row r="673" ht="22.200000762939453" hidden="0">
      <x:c r="A673" s="10" t="s">
        <x:v>36</x:v>
      </x:c>
      <x:c r="B673" s="10"/>
      <x:c r="C673" s="10"/>
      <x:c r="D673" s="10" t="n">
        <x:v>8</x:v>
      </x:c>
      <x:c r="E673" s="10"/>
      <x:c r="F673" s="10"/>
      <x:c r="G673" s="10"/>
      <x:c r="H673" s="10" t="n">
        <x:v>69</x:v>
      </x:c>
      <x:c r="I673" s="11" t="n">
        <x:f aca="0">ROUND((IF((B673*C673)/90000&lt;1,1))+IF((B673*C673)/90000&gt;=1,(B673*C673)/90000),1.1)</x:f>
        <x:v>1</x:v>
      </x:c>
      <x:c r="J673" s="11" t="n">
        <x:f aca="0">SUM(F673*I673)</x:f>
        <x:v>0</x:v>
      </x:c>
      <x:c r="K673" s="11" t="n">
        <x:f aca="0">SUM(H673*J673)</x:f>
        <x:v>0</x:v>
      </x:c>
      <x:c r="L673" s="11"/>
      <x:c r="M673" s="11" t="n">
        <x:f aca="0">SUM(C673)</x:f>
        <x:v>0</x:v>
      </x:c>
      <x:c r="N673" s="11" t="n">
        <x:f aca="0">SUM(B673-1)</x:f>
        <x:v>-1</x:v>
      </x:c>
      <x:c r="O673" s="11" t="n">
        <x:f aca="0">SUM(F673*1)</x:f>
        <x:v>0</x:v>
      </x:c>
      <x:c r="P673" s="11"/>
      <x:c r="Q673" s="11" t="str">
        <x:f aca="0">A673</x:f>
        <x:v>襯板</x:v>
      </x:c>
      <x:c r="R673" s="1" t="n">
        <x:f aca="0">SUM(C673*2)*F673</x:f>
        <x:v>0</x:v>
      </x:c>
      <x:c r="T673"/>
    </x:row>
    <x:row r="674" ht="22.200000762939453" hidden="0">
      <x:c r="A674" s="10" t="s">
        <x:v>36</x:v>
      </x:c>
      <x:c r="B674" s="10"/>
      <x:c r="C674" s="10"/>
      <x:c r="D674" s="10" t="n">
        <x:v>8</x:v>
      </x:c>
      <x:c r="E674" s="10"/>
      <x:c r="F674" s="10"/>
      <x:c r="G674" s="10"/>
      <x:c r="H674" s="10" t="n">
        <x:v>69</x:v>
      </x:c>
      <x:c r="I674" s="11" t="n">
        <x:f aca="0">ROUND((IF((B674*C674)/90000&lt;1,1))+IF((B674*C674)/90000&gt;=1,(B674*C674)/90000),1.1)</x:f>
        <x:v>1</x:v>
      </x:c>
      <x:c r="J674" s="11" t="n">
        <x:f aca="0">SUM(F674*I674)</x:f>
        <x:v>0</x:v>
      </x:c>
      <x:c r="K674" s="11" t="n">
        <x:f aca="0">SUM(H674*J674)</x:f>
        <x:v>0</x:v>
      </x:c>
      <x:c r="L674" s="11"/>
      <x:c r="M674" s="11" t="n">
        <x:f aca="0">SUM(C674)</x:f>
        <x:v>0</x:v>
      </x:c>
      <x:c r="N674" s="11" t="n">
        <x:f aca="0">SUM(B674-1)</x:f>
        <x:v>-1</x:v>
      </x:c>
      <x:c r="O674" s="11" t="n">
        <x:f aca="0">SUM(F674*1)</x:f>
        <x:v>0</x:v>
      </x:c>
      <x:c r="P674" s="11"/>
      <x:c r="Q674" s="11" t="str">
        <x:f aca="0">A674</x:f>
        <x:v>襯板</x:v>
      </x:c>
      <x:c r="R674" s="1" t="n">
        <x:f aca="0">SUM(C674*2)*F674</x:f>
        <x:v>0</x:v>
      </x:c>
      <x:c r="T674"/>
    </x:row>
    <x:row r="675" ht="22.200000762939453" hidden="0">
      <x:c r="A675" s="10" t="s">
        <x:v>37</x:v>
      </x:c>
      <x:c r="B675" s="10"/>
      <x:c r="C675" s="10"/>
      <x:c r="D675" s="10" t="n">
        <x:v>8</x:v>
      </x:c>
      <x:c r="E675" s="10"/>
      <x:c r="F675" s="10"/>
      <x:c r="G675" s="10"/>
      <x:c r="H675" s="10" t="n">
        <x:v>50</x:v>
      </x:c>
      <x:c r="I675" s="11" t="n">
        <x:f aca="0">ROUND((IF((B675*C675)/90000&lt;1,1))+IF((B675*C675)/90000&gt;=1,(B675*C675)/90000),1.1)</x:f>
        <x:v>1</x:v>
      </x:c>
      <x:c r="J675" s="11" t="n">
        <x:f aca="0">SUM(F675*I675)</x:f>
        <x:v>0</x:v>
      </x:c>
      <x:c r="K675" s="11" t="n">
        <x:f aca="0">SUM(H675*J675)</x:f>
        <x:v>0</x:v>
      </x:c>
      <x:c r="L675" s="11"/>
      <x:c r="M675" s="11" t="n">
        <x:f aca="0">SUM(C675)</x:f>
        <x:v>0</x:v>
      </x:c>
      <x:c r="N675" s="11" t="n">
        <x:f aca="0">SUM(B675)</x:f>
        <x:v>0</x:v>
      </x:c>
      <x:c r="O675" s="11" t="n">
        <x:f aca="0">SUM(F675*1)</x:f>
        <x:v>0</x:v>
      </x:c>
      <x:c r="P675" s="11"/>
      <x:c r="Q675" s="11" t="str">
        <x:f aca="0">A675</x:f>
        <x:v>背板</x:v>
      </x:c>
      <x:c r="T675"/>
    </x:row>
    <x:row r="676" ht="22.200000762939453" hidden="0">
      <x:c r="A676" s="10" t="s">
        <x:v>37</x:v>
      </x:c>
      <x:c r="B676" s="10"/>
      <x:c r="C676" s="10"/>
      <x:c r="D676" s="10" t="n">
        <x:v>8</x:v>
      </x:c>
      <x:c r="E676" s="10"/>
      <x:c r="F676" s="10"/>
      <x:c r="G676" s="10"/>
      <x:c r="H676" s="10" t="n">
        <x:v>50</x:v>
      </x:c>
      <x:c r="I676" s="11" t="n">
        <x:f aca="0">ROUND((IF((B676*C676)/90000&lt;1,1))+IF((B676*C676)/90000&gt;=1,(B676*C676)/90000),1.1)</x:f>
        <x:v>1</x:v>
      </x:c>
      <x:c r="J676" s="11" t="n">
        <x:f aca="0">SUM(F676*I676)</x:f>
        <x:v>0</x:v>
      </x:c>
      <x:c r="K676" s="11" t="n">
        <x:f aca="0">SUM(H676*J676)</x:f>
        <x:v>0</x:v>
      </x:c>
      <x:c r="L676" s="11"/>
      <x:c r="M676" s="11" t="n">
        <x:f aca="0">SUM(C676)</x:f>
        <x:v>0</x:v>
      </x:c>
      <x:c r="N676" s="11" t="n">
        <x:f aca="0">SUM(B676)</x:f>
        <x:v>0</x:v>
      </x:c>
      <x:c r="O676" s="11" t="n">
        <x:f aca="0">SUM(F676*1)</x:f>
        <x:v>0</x:v>
      </x:c>
      <x:c r="P676" s="11"/>
      <x:c r="Q676" s="11" t="str">
        <x:f aca="0">A676</x:f>
        <x:v>背板</x:v>
      </x:c>
      <x:c r="T676"/>
    </x:row>
    <x:row r="677" ht="22.200000762939453" hidden="0">
      <x:c r="A677" s="10" t="s">
        <x:v>37</x:v>
      </x:c>
      <x:c r="B677" s="10"/>
      <x:c r="C677" s="10"/>
      <x:c r="D677" s="10" t="n">
        <x:v>8</x:v>
      </x:c>
      <x:c r="E677" s="10"/>
      <x:c r="F677" s="10"/>
      <x:c r="G677" s="10"/>
      <x:c r="H677" s="10" t="n">
        <x:v>50</x:v>
      </x:c>
      <x:c r="I677" s="11" t="n">
        <x:f aca="0">ROUND((IF((B677*C677)/90000&lt;1,1))+IF((B677*C677)/90000&gt;=1,(B677*C677)/90000),1.1)</x:f>
        <x:v>1</x:v>
      </x:c>
      <x:c r="J677" s="11" t="n">
        <x:f aca="0">SUM(F677*I677)</x:f>
        <x:v>0</x:v>
      </x:c>
      <x:c r="K677" s="11" t="n">
        <x:f aca="0">SUM(H677*J677)</x:f>
        <x:v>0</x:v>
      </x:c>
      <x:c r="L677" s="11"/>
      <x:c r="M677" s="11" t="n">
        <x:f aca="0">SUM(C677)</x:f>
        <x:v>0</x:v>
      </x:c>
      <x:c r="N677" s="11" t="n">
        <x:f aca="0">SUM(B677)</x:f>
        <x:v>0</x:v>
      </x:c>
      <x:c r="O677" s="11" t="n">
        <x:f aca="0">SUM(F677*1)</x:f>
        <x:v>0</x:v>
      </x:c>
      <x:c r="P677" s="11"/>
      <x:c r="Q677" s="11" t="str">
        <x:f aca="0">A677</x:f>
        <x:v>背板</x:v>
      </x:c>
      <x:c r="T677"/>
    </x:row>
    <x:row r="678" ht="22.200000762939453" hidden="0">
      <x:c r="A678" s="10" t="s">
        <x:v>37</x:v>
      </x:c>
      <x:c r="B678" s="10"/>
      <x:c r="C678" s="10"/>
      <x:c r="D678" s="10" t="n">
        <x:v>8</x:v>
      </x:c>
      <x:c r="E678" s="10"/>
      <x:c r="F678" s="10"/>
      <x:c r="G678" s="10"/>
      <x:c r="H678" s="10" t="n">
        <x:v>50</x:v>
      </x:c>
      <x:c r="I678" s="11" t="n">
        <x:f aca="0">ROUND((IF((B678*C678)/90000&lt;1,1))+IF((B678*C678)/90000&gt;=1,(B678*C678)/90000),1.1)</x:f>
        <x:v>1</x:v>
      </x:c>
      <x:c r="J678" s="11" t="n">
        <x:f aca="0">SUM(F678*I678)</x:f>
        <x:v>0</x:v>
      </x:c>
      <x:c r="K678" s="11" t="n">
        <x:f aca="0">SUM(H678*J678)</x:f>
        <x:v>0</x:v>
      </x:c>
      <x:c r="L678" s="11"/>
      <x:c r="M678" s="11" t="n">
        <x:f aca="0">SUM(C678)</x:f>
        <x:v>0</x:v>
      </x:c>
      <x:c r="N678" s="11" t="n">
        <x:f aca="0">SUM(B678)</x:f>
        <x:v>0</x:v>
      </x:c>
      <x:c r="O678" s="11" t="n">
        <x:f aca="0">SUM(F678*1)</x:f>
        <x:v>0</x:v>
      </x:c>
      <x:c r="P678" s="11"/>
      <x:c r="Q678" s="11" t="str">
        <x:f aca="0">A678</x:f>
        <x:v>背板</x:v>
      </x:c>
      <x:c r="T678"/>
    </x:row>
    <x:row r="679" ht="22.200000762939453" hidden="0">
      <x:c r="A679" s="10" t="s">
        <x:v>37</x:v>
      </x:c>
      <x:c r="B679" s="10"/>
      <x:c r="C679" s="10"/>
      <x:c r="D679" s="10" t="n">
        <x:v>8</x:v>
      </x:c>
      <x:c r="E679" s="10"/>
      <x:c r="F679" s="10"/>
      <x:c r="G679" s="10"/>
      <x:c r="H679" s="10" t="n">
        <x:v>50</x:v>
      </x:c>
      <x:c r="I679" s="11" t="n">
        <x:f aca="0">ROUND((IF((B679*C679)/90000&lt;1,1))+IF((B679*C679)/90000&gt;=1,(B679*C679)/90000),1.1)</x:f>
        <x:v>1</x:v>
      </x:c>
      <x:c r="J679" s="11" t="n">
        <x:f aca="0">SUM(F679*I679)</x:f>
        <x:v>0</x:v>
      </x:c>
      <x:c r="K679" s="11" t="n">
        <x:f aca="0">SUM(H679*J679)</x:f>
        <x:v>0</x:v>
      </x:c>
      <x:c r="L679" s="11"/>
      <x:c r="M679" s="11" t="n">
        <x:f aca="0">SUM(C679)</x:f>
        <x:v>0</x:v>
      </x:c>
      <x:c r="N679" s="11" t="n">
        <x:f aca="0">SUM(B679)</x:f>
        <x:v>0</x:v>
      </x:c>
      <x:c r="O679" s="11" t="n">
        <x:f aca="0">SUM(F679*1)</x:f>
        <x:v>0</x:v>
      </x:c>
      <x:c r="P679" s="11"/>
      <x:c r="Q679" s="11" t="str">
        <x:f aca="0">A679</x:f>
        <x:v>背板</x:v>
      </x:c>
      <x:c r="T679"/>
    </x:row>
    <x:row r="680" ht="22.200000762939453" hidden="0">
      <x:c r="A680" s="10" t="s">
        <x:v>38</x:v>
      </x:c>
      <x:c r="B680" s="10"/>
      <x:c r="C680" s="10"/>
      <x:c r="D680" s="10" t="n">
        <x:v>18</x:v>
      </x:c>
      <x:c r="E680" s="10"/>
      <x:c r="F680" s="10"/>
      <x:c r="G680" s="10"/>
      <x:c r="H680" s="10" t="n">
        <x:v>50</x:v>
      </x:c>
      <x:c r="I680" s="11" t="n">
        <x:f aca="0">ROUND((IF((B680*C680)/90000&lt;1,1))+IF((B680*C680)/90000&gt;=1,(B680*C680)/90000),1.1)</x:f>
        <x:v>1</x:v>
      </x:c>
      <x:c r="J680" s="11" t="n">
        <x:f aca="0">SUM(F680*I680)</x:f>
        <x:v>0</x:v>
      </x:c>
      <x:c r="K680" s="11" t="n">
        <x:f aca="0">SUM(H680*J680)</x:f>
        <x:v>0</x:v>
      </x:c>
      <x:c r="L680" s="11"/>
      <x:c r="M680" s="11" t="n">
        <x:f aca="0">SUM(C680)</x:f>
        <x:v>0</x:v>
      </x:c>
      <x:c r="N680" s="11" t="n">
        <x:f aca="0">SUM(B680)</x:f>
        <x:v>0</x:v>
      </x:c>
      <x:c r="O680" s="11" t="n">
        <x:f aca="0">SUM(F680*1)</x:f>
        <x:v>0</x:v>
      </x:c>
      <x:c r="P680" s="11"/>
      <x:c r="Q680" s="11" t="str">
        <x:f aca="0">A680</x:f>
        <x:v>踢腳板</x:v>
      </x:c>
      <x:c r="R680" s="1" t="n">
        <x:f aca="0">SUM(C680*1)*F680</x:f>
        <x:v>0</x:v>
      </x:c>
      <x:c r="T680"/>
    </x:row>
    <x:row r="681" ht="22.200000762939453" hidden="0">
      <x:c r="A681" s="10" t="s">
        <x:v>39</x:v>
      </x:c>
      <x:c r="B681" s="10"/>
      <x:c r="C681" s="10"/>
      <x:c r="D681" s="10" t="n">
        <x:v>25</x:v>
      </x:c>
      <x:c r="E681" s="10"/>
      <x:c r="F681" s="10"/>
      <x:c r="G681" s="10"/>
      <x:c r="H681" s="10" t="n">
        <x:v>126</x:v>
      </x:c>
      <x:c r="I681" s="11" t="n">
        <x:f aca="0">ROUND((IF((B681*C681)/90000&lt;1,1))+IF((B681*C681)/90000&gt;=1,(B681*C681)/90000),1.1)</x:f>
        <x:v>1</x:v>
      </x:c>
      <x:c r="J681" s="11" t="n">
        <x:f aca="0">SUM(F681*I681)</x:f>
        <x:v>0</x:v>
      </x:c>
      <x:c r="K681" s="11" t="n">
        <x:f aca="0">SUM(H681*J681)</x:f>
        <x:v>0</x:v>
      </x:c>
      <x:c r="L681" s="11"/>
      <x:c r="M681" s="11" t="n">
        <x:f aca="0">SUM(C681)</x:f>
        <x:v>0</x:v>
      </x:c>
      <x:c r="N681" s="11" t="n">
        <x:f aca="0">SUM(B681-1)</x:f>
        <x:v>-1</x:v>
      </x:c>
      <x:c r="O681" s="11" t="n">
        <x:f aca="0">SUM(F681*1)</x:f>
        <x:v>0</x:v>
      </x:c>
      <x:c r="P681" s="11"/>
      <x:c r="Q681" s="11" t="str">
        <x:f aca="0">A681</x:f>
        <x:v>檯面</x:v>
      </x:c>
      <x:c r="S681" s="1" t="n">
        <x:f aca="0">SUM(B681*2+C681*1)*F681</x:f>
        <x:v>0</x:v>
      </x:c>
      <x:c r="T681"/>
    </x:row>
    <x:row r="682" ht="22.200000762939453" hidden="0">
      <x:c r="A682" s="10" t="s">
        <x:v>40</x:v>
      </x:c>
      <x:c r="B682" s="10"/>
      <x:c r="C682" s="10"/>
      <x:c r="D682" s="10" t="n">
        <x:v>18</x:v>
      </x:c>
      <x:c r="E682" s="10"/>
      <x:c r="F682" s="10"/>
      <x:c r="G682" s="10"/>
      <x:c r="H682" s="10" t="n">
        <x:v>65</x:v>
      </x:c>
      <x:c r="I682" s="11" t="n">
        <x:f aca="0">ROUND((IF((B682*C682)/90000&lt;1,1))+IF((B682*C682)/90000&gt;=1,(B682*C682)/90000),1.1)</x:f>
        <x:v>1</x:v>
      </x:c>
      <x:c r="J682" s="11" t="n">
        <x:f aca="0">SUM(F682*I682)</x:f>
        <x:v>0</x:v>
      </x:c>
      <x:c r="K682" s="11" t="n">
        <x:f aca="0">SUM(H682*J682)</x:f>
        <x:v>0</x:v>
      </x:c>
      <x:c r="L682" s="11"/>
      <x:c r="M682" s="11" t="n">
        <x:f aca="0">SUM(C682)</x:f>
        <x:v>0</x:v>
      </x:c>
      <x:c r="N682" s="11" t="n">
        <x:f aca="0">SUM(B682)</x:f>
        <x:v>0</x:v>
      </x:c>
      <x:c r="O682" s="11" t="n">
        <x:f aca="0">SUM(F682*1)</x:f>
        <x:v>0</x:v>
      </x:c>
      <x:c r="P682" s="11"/>
      <x:c r="Q682" s="11" t="str">
        <x:f aca="0">A682</x:f>
        <x:v>背條</x:v>
      </x:c>
      <x:c r="T682"/>
    </x:row>
    <x:row r="683" ht="22.200000762939453" hidden="0">
      <x:c r="A683" s="10" t="s">
        <x:v>40</x:v>
      </x:c>
      <x:c r="B683" s="10"/>
      <x:c r="C683" s="10"/>
      <x:c r="D683" s="10" t="n">
        <x:v>18</x:v>
      </x:c>
      <x:c r="E683" s="10"/>
      <x:c r="F683" s="10"/>
      <x:c r="G683" s="10"/>
      <x:c r="H683" s="10" t="n">
        <x:v>65</x:v>
      </x:c>
      <x:c r="I683" s="11" t="n">
        <x:f aca="0">ROUND((IF((B683*C683)/90000&lt;1,1))+IF((B683*C683)/90000&gt;=1,(B683*C683)/90000),1.1)</x:f>
        <x:v>1</x:v>
      </x:c>
      <x:c r="J683" s="11" t="n">
        <x:f aca="0">SUM(F683*I683)</x:f>
        <x:v>0</x:v>
      </x:c>
      <x:c r="K683" s="11" t="n">
        <x:f aca="0">SUM(H683*J683)</x:f>
        <x:v>0</x:v>
      </x:c>
      <x:c r="L683" s="11"/>
      <x:c r="M683" s="11" t="n">
        <x:f aca="0">SUM(C683)</x:f>
        <x:v>0</x:v>
      </x:c>
      <x:c r="N683" s="11" t="n">
        <x:f aca="0">SUM(B683)</x:f>
        <x:v>0</x:v>
      </x:c>
      <x:c r="O683" s="11" t="n">
        <x:f aca="0">SUM(F683*1)</x:f>
        <x:v>0</x:v>
      </x:c>
      <x:c r="P683" s="11"/>
      <x:c r="Q683" s="11" t="str">
        <x:f aca="0">A683</x:f>
        <x:v>背條</x:v>
      </x:c>
      <x:c r="T683"/>
    </x:row>
    <x:row r="684" ht="22.200000762939453" hidden="0">
      <x:c r="A684" s="10" t="s">
        <x:v>40</x:v>
      </x:c>
      <x:c r="B684" s="10"/>
      <x:c r="C684" s="10"/>
      <x:c r="D684" s="10" t="n">
        <x:v>18</x:v>
      </x:c>
      <x:c r="E684" s="10"/>
      <x:c r="F684" s="10"/>
      <x:c r="G684" s="10"/>
      <x:c r="H684" s="10" t="n">
        <x:v>65</x:v>
      </x:c>
      <x:c r="I684" s="11" t="n">
        <x:f aca="0">ROUND((IF((B684*C684)/90000&lt;1,1))+IF((B684*C684)/90000&gt;=1,(B684*C684)/90000),1.1)</x:f>
        <x:v>1</x:v>
      </x:c>
      <x:c r="J684" s="11" t="n">
        <x:f aca="0">SUM(F684*I684)</x:f>
        <x:v>0</x:v>
      </x:c>
      <x:c r="K684" s="11" t="n">
        <x:f aca="0">SUM(H684*J684)</x:f>
        <x:v>0</x:v>
      </x:c>
      <x:c r="L684" s="11"/>
      <x:c r="M684" s="11" t="n">
        <x:f aca="0">SUM(C684)</x:f>
        <x:v>0</x:v>
      </x:c>
      <x:c r="N684" s="11" t="n">
        <x:f aca="0">SUM(B684)</x:f>
        <x:v>0</x:v>
      </x:c>
      <x:c r="O684" s="11" t="n">
        <x:f aca="0">SUM(F684*1)</x:f>
        <x:v>0</x:v>
      </x:c>
      <x:c r="P684" s="11"/>
      <x:c r="Q684" s="11" t="str">
        <x:f aca="0">A684</x:f>
        <x:v>背條</x:v>
      </x:c>
      <x:c r="T684"/>
    </x:row>
    <x:row r="685" ht="22.200000762939453" hidden="0">
      <x:c r="A685" s="10" t="s">
        <x:v>40</x:v>
      </x:c>
      <x:c r="B685" s="10"/>
      <x:c r="C685" s="10"/>
      <x:c r="D685" s="10" t="n">
        <x:v>18</x:v>
      </x:c>
      <x:c r="E685" s="10"/>
      <x:c r="F685" s="10"/>
      <x:c r="G685" s="10"/>
      <x:c r="H685" s="10" t="n">
        <x:v>65</x:v>
      </x:c>
      <x:c r="I685" s="11" t="n">
        <x:f aca="0">ROUND((IF((B685*C685)/90000&lt;1,1))+IF((B685*C685)/90000&gt;=1,(B685*C685)/90000),1.1)</x:f>
        <x:v>1</x:v>
      </x:c>
      <x:c r="J685" s="11" t="n">
        <x:f aca="0">SUM(F685*I685)</x:f>
        <x:v>0</x:v>
      </x:c>
      <x:c r="K685" s="11" t="n">
        <x:f aca="0">SUM(H685*J685)</x:f>
        <x:v>0</x:v>
      </x:c>
      <x:c r="L685" s="11"/>
      <x:c r="M685" s="11" t="n">
        <x:f aca="0">SUM(C685)</x:f>
        <x:v>0</x:v>
      </x:c>
      <x:c r="N685" s="11" t="n">
        <x:f aca="0">SUM(B685)</x:f>
        <x:v>0</x:v>
      </x:c>
      <x:c r="O685" s="11" t="n">
        <x:f aca="0">SUM(F685*1)</x:f>
        <x:v>0</x:v>
      </x:c>
      <x:c r="P685" s="11"/>
      <x:c r="Q685" s="11" t="str">
        <x:f aca="0">A685</x:f>
        <x:v>背條</x:v>
      </x:c>
      <x:c r="T685"/>
    </x:row>
    <x:row r="686" ht="22.200000762939453" hidden="0">
      <x:c r="A686" s="12" t="s">
        <x:v>41</x:v>
      </x:c>
      <x:c r="B686" s="10"/>
      <x:c r="C686" s="10"/>
      <x:c r="D686" s="10"/>
      <x:c r="E686" s="10"/>
      <x:c r="F686" s="10"/>
      <x:c r="G686" s="10"/>
      <x:c r="H686" s="10" t="n">
        <x:v>11</x:v>
      </x:c>
      <x:c r="I686" s="11"/>
      <x:c r="J686" s="11"/>
      <x:c r="K686" s="11" t="n">
        <x:f aca="0">SUM(F686*H686)</x:f>
        <x:v>0</x:v>
      </x:c>
      <x:c r="L686" s="11"/>
      <x:c r="M686" s="11"/>
      <x:c r="N686" s="11"/>
      <x:c r="O686" s="11"/>
      <x:c r="P686" s="11"/>
      <x:c r="Q686" s="11"/>
      <x:c r="T686"/>
    </x:row>
    <x:row r="687" ht="22.200000762939453" hidden="0">
      <x:c r="A687" s="12" t="s">
        <x:v>42</x:v>
      </x:c>
      <x:c r="B687" s="10"/>
      <x:c r="C687" s="10"/>
      <x:c r="D687" s="10"/>
      <x:c r="E687" s="10"/>
      <x:c r="F687" s="10"/>
      <x:c r="G687" s="10"/>
      <x:c r="H687" s="10" t="n">
        <x:v>9</x:v>
      </x:c>
      <x:c r="I687" s="11"/>
      <x:c r="J687" s="11"/>
      <x:c r="K687" s="11" t="n">
        <x:f aca="0">SUM(F687*H687)</x:f>
        <x:v>0</x:v>
      </x:c>
      <x:c r="L687" s="11"/>
      <x:c r="M687" s="11"/>
      <x:c r="N687" s="11"/>
      <x:c r="O687" s="11"/>
      <x:c r="P687" s="11"/>
      <x:c r="Q687" s="11"/>
      <x:c r="R687" s="9"/>
      <x:c r="S687" s="13"/>
      <x:c r="T687"/>
    </x:row>
    <x:row r="688" ht="22.200000762939453" hidden="0">
      <x:c r="A688" s="10" t="s">
        <x:v>43</x:v>
      </x:c>
      <x:c r="B688" s="10"/>
      <x:c r="C688" s="10"/>
      <x:c r="D688" s="10"/>
      <x:c r="E688" s="10"/>
      <x:c r="F688" s="10"/>
      <x:c r="G688" s="10"/>
      <x:c r="H688" s="10" t="n">
        <x:v>1</x:v>
      </x:c>
      <x:c r="I688" s="11"/>
      <x:c r="J688" s="11"/>
      <x:c r="K688" s="11" t="n">
        <x:f aca="0">SUM(F688*H688)</x:f>
        <x:v>0</x:v>
      </x:c>
      <x:c r="L688" s="11"/>
      <x:c r="M688" s="11"/>
      <x:c r="N688" s="11"/>
      <x:c r="O688" s="11"/>
      <x:c r="P688" s="11"/>
      <x:c r="Q688" s="11"/>
      <x:c r="T688"/>
    </x:row>
    <x:row r="689" ht="22.200000762939453" hidden="0">
      <x:c r="A689" s="10" t="s">
        <x:v>44</x:v>
      </x:c>
      <x:c r="B689" s="10"/>
      <x:c r="C689" s="10"/>
      <x:c r="D689" s="10"/>
      <x:c r="E689" s="10"/>
      <x:c r="F689" s="10"/>
      <x:c r="G689" s="10"/>
      <x:c r="H689" s="10" t="n">
        <x:v>11</x:v>
      </x:c>
      <x:c r="I689" s="11"/>
      <x:c r="J689" s="11"/>
      <x:c r="K689" s="11" t="n">
        <x:f aca="0">SUM(F689*H689)</x:f>
        <x:v>0</x:v>
      </x:c>
      <x:c r="L689" s="11"/>
      <x:c r="M689" s="11"/>
      <x:c r="N689" s="11"/>
      <x:c r="O689" s="11"/>
      <x:c r="P689" s="11"/>
      <x:c r="Q689" s="11"/>
      <x:c r="T689"/>
    </x:row>
    <x:row r="690" ht="22.200000762939453" hidden="0">
      <x:c r="A690" s="10" t="s">
        <x:v>45</x:v>
      </x:c>
      <x:c r="B690" s="10"/>
      <x:c r="C690" s="10"/>
      <x:c r="D690" s="10"/>
      <x:c r="E690" s="10"/>
      <x:c r="F690" s="10"/>
      <x:c r="G690" s="10"/>
      <x:c r="H690" s="10" t="n">
        <x:v>7</x:v>
      </x:c>
      <x:c r="I690" s="11"/>
      <x:c r="J690" s="11"/>
      <x:c r="K690" s="11" t="n">
        <x:f aca="0">SUM(F690*H690)</x:f>
        <x:v>0</x:v>
      </x:c>
      <x:c r="L690" s="11"/>
      <x:c r="M690" s="11"/>
      <x:c r="N690" s="11"/>
      <x:c r="O690" s="11"/>
      <x:c r="P690" s="11"/>
      <x:c r="Q690" s="11"/>
      <x:c r="T690"/>
    </x:row>
    <x:row r="691" ht="22.200000762939453" hidden="0">
      <x:c r="A691" s="12" t="s">
        <x:v>65</x:v>
      </x:c>
      <x:c r="B691" s="10"/>
      <x:c r="C691" s="10"/>
      <x:c r="D691" s="10"/>
      <x:c r="E691" s="10"/>
      <x:c r="F691" s="10"/>
      <x:c r="G691" s="10"/>
      <x:c r="H691" s="10" t="n">
        <x:v>50</x:v>
      </x:c>
      <x:c r="I691" s="11"/>
      <x:c r="J691" s="11"/>
      <x:c r="K691" s="11" t="n">
        <x:f aca="0">SUM(F691*H691)</x:f>
        <x:v>0</x:v>
      </x:c>
      <x:c r="L691" s="11"/>
      <x:c r="M691" s="11"/>
      <x:c r="N691" s="11"/>
      <x:c r="O691" s="11"/>
      <x:c r="P691" s="11"/>
      <x:c r="Q691" s="11"/>
      <x:c r="T691"/>
    </x:row>
    <x:row r="692" ht="22.200000762939453" hidden="0">
      <x:c r="A692" s="10" t="s">
        <x:v>47</x:v>
      </x:c>
      <x:c r="B692" s="10"/>
      <x:c r="C692" s="10"/>
      <x:c r="D692" s="10"/>
      <x:c r="E692" s="10"/>
      <x:c r="F692" s="10"/>
      <x:c r="G692" s="10"/>
      <x:c r="H692" s="10" t="n">
        <x:v>90</x:v>
      </x:c>
      <x:c r="I692" s="11"/>
      <x:c r="J692" s="11"/>
      <x:c r="K692" s="11" t="n">
        <x:f aca="0">SUM(F692*H692)</x:f>
        <x:v>0</x:v>
      </x:c>
      <x:c r="L692" s="11"/>
      <x:c r="M692" s="11"/>
      <x:c r="N692" s="11"/>
      <x:c r="O692" s="11"/>
      <x:c r="P692" s="11"/>
      <x:c r="Q692" s="11"/>
      <x:c r="T692"/>
    </x:row>
    <x:row r="693" ht="22.200000762939453" hidden="0">
      <x:c r="A693" s="10" t="s">
        <x:v>48</x:v>
      </x:c>
      <x:c r="B693" s="10"/>
      <x:c r="C693" s="10"/>
      <x:c r="D693" s="10"/>
      <x:c r="E693" s="10"/>
      <x:c r="F693" s="10"/>
      <x:c r="G693" s="10"/>
      <x:c r="H693" s="10" t="n">
        <x:v>275</x:v>
      </x:c>
      <x:c r="I693" s="11"/>
      <x:c r="J693" s="11"/>
      <x:c r="K693" s="11" t="n">
        <x:f aca="0">SUM(F693*H693)</x:f>
        <x:v>0</x:v>
      </x:c>
      <x:c r="L693" s="11"/>
      <x:c r="M693" s="11"/>
      <x:c r="N693" s="11"/>
      <x:c r="O693" s="11"/>
      <x:c r="P693" s="11"/>
      <x:c r="Q693" s="11"/>
      <x:c r="T693"/>
    </x:row>
    <x:row r="694" ht="22.200000762939453" hidden="0">
      <x:c r="A694" s="12" t="s">
        <x:v>49</x:v>
      </x:c>
      <x:c r="B694" s="10"/>
      <x:c r="C694" s="10"/>
      <x:c r="D694" s="10"/>
      <x:c r="E694" s="10"/>
      <x:c r="F694" s="10"/>
      <x:c r="G694" s="10"/>
      <x:c r="H694" s="10" t="n">
        <x:v>165</x:v>
      </x:c>
      <x:c r="I694" s="11"/>
      <x:c r="J694" s="11"/>
      <x:c r="K694" s="11" t="n">
        <x:f aca="0">SUM(F694*H694)</x:f>
        <x:v>0</x:v>
      </x:c>
      <x:c r="L694" s="11"/>
      <x:c r="M694" s="11"/>
      <x:c r="N694" s="11"/>
      <x:c r="O694" s="11"/>
      <x:c r="P694" s="11"/>
      <x:c r="Q694" s="11"/>
      <x:c r="T694"/>
    </x:row>
    <x:row r="695" ht="22.200000762939453" hidden="0">
      <x:c r="A695" s="12" t="s">
        <x:v>50</x:v>
      </x:c>
      <x:c r="B695" s="10"/>
      <x:c r="C695" s="10"/>
      <x:c r="D695" s="10"/>
      <x:c r="E695" s="10"/>
      <x:c r="F695" s="10"/>
      <x:c r="G695" s="10"/>
      <x:c r="H695" s="10"/>
      <x:c r="I695" s="11"/>
      <x:c r="J695" s="11"/>
      <x:c r="K695" s="11" t="n">
        <x:f aca="0">SUM(F695*H695)</x:f>
        <x:v>0</x:v>
      </x:c>
      <x:c r="L695" s="11"/>
      <x:c r="M695" s="11"/>
      <x:c r="N695" s="11"/>
      <x:c r="O695" s="11"/>
      <x:c r="P695" s="11"/>
      <x:c r="Q695" s="11"/>
      <x:c r="T695"/>
    </x:row>
    <x:row r="696" ht="22.200000762939453" hidden="0">
      <x:c r="A696" s="12" t="s">
        <x:v>51</x:v>
      </x:c>
      <x:c r="B696" s="10"/>
      <x:c r="C696" s="10"/>
      <x:c r="D696" s="10"/>
      <x:c r="E696" s="10"/>
      <x:c r="F696" s="10"/>
      <x:c r="G696" s="10"/>
      <x:c r="H696" s="10"/>
      <x:c r="I696" s="11"/>
      <x:c r="J696" s="11"/>
      <x:c r="K696" s="11" t="n">
        <x:f aca="0">SUM(F696*H696)</x:f>
        <x:v>0</x:v>
      </x:c>
      <x:c r="L696" s="11"/>
      <x:c r="M696" s="11"/>
      <x:c r="N696" s="11"/>
      <x:c r="O696" s="11"/>
      <x:c r="P696" s="11"/>
      <x:c r="Q696" s="11"/>
      <x:c r="T696"/>
    </x:row>
    <x:row r="697" ht="22.200000762939453" hidden="0">
      <x:c r="A697" s="12" t="s">
        <x:v>52</x:v>
      </x:c>
      <x:c r="B697" s="10"/>
      <x:c r="C697" s="10"/>
      <x:c r="D697" s="10"/>
      <x:c r="E697" s="10"/>
      <x:c r="F697" s="10"/>
      <x:c r="G697" s="10"/>
      <x:c r="H697" s="10"/>
      <x:c r="I697" s="11"/>
      <x:c r="J697" s="11"/>
      <x:c r="K697" s="11" t="n">
        <x:f aca="0">SUM(F697*H697)</x:f>
        <x:v>0</x:v>
      </x:c>
      <x:c r="L697" s="11"/>
      <x:c r="M697" s="11"/>
      <x:c r="N697" s="11"/>
      <x:c r="O697" s="11"/>
      <x:c r="P697" s="11"/>
      <x:c r="Q697" s="11"/>
      <x:c r="T697"/>
    </x:row>
    <x:row r="698" ht="22.200000762939453" hidden="0">
      <x:c r="A698" s="12" t="s">
        <x:v>53</x:v>
      </x:c>
      <x:c r="B698" s="10"/>
      <x:c r="C698" s="10"/>
      <x:c r="D698" s="10"/>
      <x:c r="E698" s="10"/>
      <x:c r="F698" s="10"/>
      <x:c r="G698" s="10"/>
      <x:c r="H698" s="10" t="n">
        <x:v>66</x:v>
      </x:c>
      <x:c r="I698" s="11"/>
      <x:c r="J698" s="11"/>
      <x:c r="K698" s="11" t="n">
        <x:f aca="0">SUM(F698*H698)</x:f>
        <x:v>0</x:v>
      </x:c>
      <x:c r="L698" s="11"/>
      <x:c r="M698" s="11"/>
      <x:c r="N698" s="11"/>
      <x:c r="O698" s="11"/>
      <x:c r="P698" s="11"/>
      <x:c r="Q698" s="11"/>
      <x:c r="T698"/>
    </x:row>
    <x:row r="699" ht="22.200000762939453" hidden="0">
      <x:c r="A699" s="10" t="s">
        <x:v>54</x:v>
      </x:c>
      <x:c r="B699" s="10"/>
      <x:c r="C699" s="10"/>
      <x:c r="D699" s="10"/>
      <x:c r="E699" s="10"/>
      <x:c r="F699" s="10"/>
      <x:c r="G699" s="10"/>
      <x:c r="H699" s="10" t="n">
        <x:v>220</x:v>
      </x:c>
      <x:c r="I699" s="11"/>
      <x:c r="J699" s="11"/>
      <x:c r="K699" s="11" t="n">
        <x:f aca="0">SUM(F699*H699)</x:f>
        <x:v>0</x:v>
      </x:c>
      <x:c r="L699" s="11"/>
      <x:c r="M699" s="11"/>
      <x:c r="N699" s="11"/>
      <x:c r="O699" s="11"/>
      <x:c r="P699" s="11"/>
      <x:c r="Q699" s="11"/>
      <x:c r="T699"/>
    </x:row>
    <x:row r="700" ht="22.200000762939453" hidden="0">
      <x:c r="A700" s="12" t="s">
        <x:v>55</x:v>
      </x:c>
      <x:c r="B700" s="10"/>
      <x:c r="C700" s="10"/>
      <x:c r="D700" s="10"/>
      <x:c r="E700" s="10"/>
      <x:c r="F700" s="10"/>
      <x:c r="G700" s="10"/>
      <x:c r="H700" s="10"/>
      <x:c r="I700" s="11"/>
      <x:c r="J700" s="11"/>
      <x:c r="K700" s="11" t="n">
        <x:f aca="0">SUM(F700*H700)</x:f>
        <x:v>0</x:v>
      </x:c>
      <x:c r="L700" s="11"/>
      <x:c r="M700" s="11"/>
      <x:c r="N700" s="11"/>
      <x:c r="O700" s="11"/>
      <x:c r="P700" s="11"/>
      <x:c r="Q700" s="11"/>
      <x:c r="T700"/>
    </x:row>
    <x:row r="701" ht="22.200000762939453" hidden="0">
      <x:c r="A701" s="10" t="s">
        <x:v>56</x:v>
      </x:c>
      <x:c r="B701" s="10"/>
      <x:c r="C701" s="10"/>
      <x:c r="D701" s="10"/>
      <x:c r="E701" s="10"/>
      <x:c r="F701" s="10"/>
      <x:c r="G701" s="10"/>
      <x:c r="H701" s="10" t="n">
        <x:v>800</x:v>
      </x:c>
      <x:c r="I701" s="11"/>
      <x:c r="J701" s="11"/>
      <x:c r="K701" s="11" t="n">
        <x:f aca="0">SUM(F701*H701)</x:f>
        <x:v>0</x:v>
      </x:c>
      <x:c r="L701" s="11"/>
      <x:c r="M701" s="11"/>
      <x:c r="N701" s="11"/>
      <x:c r="O701" s="11"/>
      <x:c r="P701" s="11"/>
      <x:c r="Q701" s="11"/>
      <x:c r="T701"/>
    </x:row>
    <x:row r="702" ht="22.200000762939453" hidden="0">
      <x:c r="A702" s="10" t="s">
        <x:v>57</x:v>
      </x:c>
      <x:c r="B702" s="10"/>
      <x:c r="C702" s="10"/>
      <x:c r="D702" s="10"/>
      <x:c r="E702" s="10"/>
      <x:c r="F702" s="10"/>
      <x:c r="G702" s="10"/>
      <x:c r="H702" s="10" t="n">
        <x:v>200</x:v>
      </x:c>
      <x:c r="I702" s="11"/>
      <x:c r="J702" s="11"/>
      <x:c r="K702" s="11" t="n">
        <x:f aca="0">SUM(F702*H702)</x:f>
        <x:v>0</x:v>
      </x:c>
      <x:c r="L702" s="11"/>
      <x:c r="M702" s="11"/>
      <x:c r="N702" s="11"/>
      <x:c r="O702" s="11"/>
      <x:c r="P702" s="11"/>
      <x:c r="Q702" s="11"/>
      <x:c r="T702"/>
    </x:row>
    <x:row r="703" ht="22.200000762939453" hidden="0">
      <x:c r="A703" s="10" t="s">
        <x:v>58</x:v>
      </x:c>
      <x:c r="B703" s="10"/>
      <x:c r="C703" s="10"/>
      <x:c r="D703" s="10"/>
      <x:c r="E703" s="10"/>
      <x:c r="F703" s="10"/>
      <x:c r="G703" s="10"/>
      <x:c r="H703" s="10" t="n">
        <x:v>150</x:v>
      </x:c>
      <x:c r="I703" s="11"/>
      <x:c r="J703" s="11"/>
      <x:c r="K703" s="11" t="n">
        <x:f aca="0">SUM(F703*H703)</x:f>
        <x:v>0</x:v>
      </x:c>
      <x:c r="L703" s="11"/>
      <x:c r="M703" s="11"/>
      <x:c r="N703" s="11"/>
      <x:c r="O703" s="11"/>
      <x:c r="P703" s="11"/>
      <x:c r="Q703" s="11"/>
      <x:c r="T703"/>
    </x:row>
    <x:row r="704" ht="22.200000762939453" hidden="0">
      <x:c r="A704" s="10" t="s">
        <x:v>59</x:v>
      </x:c>
      <x:c r="B704" s="10"/>
      <x:c r="C704" s="10"/>
      <x:c r="D704" s="10"/>
      <x:c r="E704" s="10"/>
      <x:c r="F704" s="10"/>
      <x:c r="G704" s="10"/>
      <x:c r="H704" s="10" t="n">
        <x:v>34</x:v>
      </x:c>
      <x:c r="I704" s="11"/>
      <x:c r="J704" s="11"/>
      <x:c r="K704" s="11" t="n">
        <x:f aca="0">SUM(F704*H704)</x:f>
        <x:v>0</x:v>
      </x:c>
      <x:c r="L704" s="11"/>
      <x:c r="M704" s="11"/>
      <x:c r="N704" s="11"/>
      <x:c r="O704" s="11"/>
      <x:c r="P704" s="11"/>
      <x:c r="Q704" s="11"/>
      <x:c r="T704"/>
    </x:row>
    <x:row r="705" ht="22.200000762939453" hidden="0">
      <x:c r="A705" s="10" t="s">
        <x:v>60</x:v>
      </x:c>
      <x:c r="B705" s="10"/>
      <x:c r="C705" s="10"/>
      <x:c r="D705" s="10"/>
      <x:c r="E705" s="10"/>
      <x:c r="F705" s="10"/>
      <x:c r="G705" s="10"/>
      <x:c r="H705" s="10" t="n">
        <x:v>6</x:v>
      </x:c>
      <x:c r="I705" s="11"/>
      <x:c r="J705" s="11"/>
      <x:c r="K705" s="11" t="n">
        <x:f aca="0">SUM(F705*H705)</x:f>
        <x:v>0</x:v>
      </x:c>
      <x:c r="L705" s="11"/>
      <x:c r="M705" s="11"/>
      <x:c r="N705" s="11"/>
      <x:c r="O705" s="11"/>
      <x:c r="P705" s="11"/>
      <x:c r="Q705" s="11"/>
      <x:c r="T705"/>
    </x:row>
    <x:row r="706" ht="22.200000762939453" hidden="0">
      <x:c r="A706" s="10" t="s">
        <x:v>61</x:v>
      </x:c>
      <x:c r="B706" s="10"/>
      <x:c r="C706" s="10"/>
      <x:c r="D706" s="10"/>
      <x:c r="E706" s="10"/>
      <x:c r="F706" s="10"/>
      <x:c r="G706" s="10"/>
      <x:c r="H706" s="10" t="n">
        <x:v>670</x:v>
      </x:c>
      <x:c r="I706" s="11"/>
      <x:c r="J706" s="11"/>
      <x:c r="K706" s="11" t="n">
        <x:f aca="0">SUM(F706*H706)</x:f>
        <x:v>0</x:v>
      </x:c>
      <x:c r="L706" s="11"/>
      <x:c r="M706" s="11"/>
      <x:c r="N706" s="11"/>
      <x:c r="O706" s="11"/>
      <x:c r="P706" s="11"/>
      <x:c r="Q706" s="11"/>
      <x:c r="T706"/>
    </x:row>
    <x:row r="707" ht="22.200000762939453" hidden="0">
      <x:c r="A707" s="10" t="s">
        <x:v>62</x:v>
      </x:c>
      <x:c r="B707" s="10"/>
      <x:c r="C707" s="10"/>
      <x:c r="D707" s="10"/>
      <x:c r="E707" s="10"/>
      <x:c r="F707" s="10"/>
      <x:c r="G707" s="10"/>
      <x:c r="H707" s="10" t="n">
        <x:v>110</x:v>
      </x:c>
      <x:c r="I707" s="11"/>
      <x:c r="J707" s="11"/>
      <x:c r="K707" s="11" t="n">
        <x:f aca="0">SUM(F707*H707)</x:f>
        <x:v>0</x:v>
      </x:c>
      <x:c r="L707" s="11"/>
      <x:c r="M707" s="11"/>
      <x:c r="N707" s="11"/>
      <x:c r="O707" s="11"/>
      <x:c r="P707" s="11"/>
      <x:c r="Q707" s="11"/>
      <x:c r="T707"/>
    </x:row>
    <x:row r="708" ht="22.200000762939453" hidden="0">
      <x:c r="A708" s="10" t="s">
        <x:v>63</x:v>
      </x:c>
      <x:c r="B708" s="10"/>
      <x:c r="C708" s="10"/>
      <x:c r="D708" s="10"/>
      <x:c r="E708" s="10"/>
      <x:c r="F708" s="10"/>
      <x:c r="G708" s="10"/>
      <x:c r="H708" s="10"/>
      <x:c r="I708" s="11"/>
      <x:c r="J708" s="11"/>
      <x:c r="K708" s="11" t="n">
        <x:f aca="0">SUM(F708*H708)</x:f>
        <x:v>0</x:v>
      </x:c>
      <x:c r="L708" s="11"/>
      <x:c r="M708" s="11"/>
      <x:c r="N708" s="11"/>
      <x:c r="O708" s="11"/>
      <x:c r="P708" s="11"/>
      <x:c r="Q708" s="11"/>
      <x:c r="T708"/>
    </x:row>
    <x:row r="709" ht="22.200000762939453" hidden="0">
      <x:c r="A709" s="10"/>
      <x:c r="B709" s="10"/>
      <x:c r="C709" s="10"/>
      <x:c r="D709" s="10"/>
      <x:c r="E709" s="10"/>
      <x:c r="F709" s="10"/>
      <x:c r="G709" s="10"/>
      <x:c r="H709" s="10"/>
      <x:c r="I709" s="11"/>
      <x:c r="J709" s="11"/>
      <x:c r="K709" s="11" t="n">
        <x:f aca="0">SUM(F709*H709)</x:f>
        <x:v>0</x:v>
      </x:c>
      <x:c r="L709" s="11"/>
      <x:c r="M709" s="11"/>
      <x:c r="N709" s="11"/>
      <x:c r="O709" s="11"/>
      <x:c r="P709" s="11"/>
      <x:c r="Q709" s="11"/>
      <x:c r="T709"/>
    </x:row>
    <x:row r="710" ht="22.200000762939453" hidden="0">
      <x:c r="A710" s="15"/>
      <x:c r="B710" s="15"/>
      <x:c r="C710" s="15"/>
      <x:c r="D710" s="15"/>
      <x:c r="E710" s="15"/>
      <x:c r="F710" s="15"/>
      <x:c r="G710" s="15"/>
      <x:c r="H710" s="15"/>
      <x:c r="I710" s="11" t="n">
        <x:f aca="0">SUM(B710*C710)/90000</x:f>
        <x:v>0</x:v>
      </x:c>
      <x:c r="J710" s="15" t="s">
        <x:v>17</x:v>
      </x:c>
      <x:c r="K710" s="16" t="n">
        <x:f aca="0">SUM(K637:K709)</x:f>
        <x:v>0</x:v>
      </x:c>
      <x:c r="L710" s="16" t="n">
        <x:f aca="0">SUM(K710*1.35)</x:f>
        <x:v>0</x:v>
      </x:c>
      <x:c r="M710" s="16"/>
      <x:c r="N710" s="16" t="n">
        <x:f aca="0">SUM(M710*1.25)</x:f>
        <x:v>0</x:v>
      </x:c>
      <x:c r="O710" s="16"/>
      <x:c r="P710" s="16"/>
      <x:c r="Q710" s="16"/>
      <x:c r="T710"/>
    </x:row>
    <x:row r="713" ht="22.200000762939453" hidden="0">
      <x:c r="A713" s="5"/>
      <x:c r="B713" s="5"/>
      <x:c r="C713" s="5"/>
      <x:c r="D713" s="5"/>
      <x:c r="E713" s="5"/>
      <x:c r="F713" s="5"/>
      <x:c r="G713" s="6"/>
      <x:c r="H713" s="5"/>
      <x:c r="I713" s="3"/>
      <x:c r="J713" s="3"/>
      <x:c r="K713" s="4"/>
      <x:c r="L713" s="4"/>
      <x:c r="M713" s="4"/>
      <x:c r="N713" s="4"/>
      <x:c r="O713" s="4"/>
      <x:c r="P713" s="4"/>
      <x:c r="Q713" s="4"/>
      <x:c r="R713" s="4"/>
    </x:row>
    <x:row r="714" ht="22.200000762939453" hidden="0">
      <x:c r="A714" s="7" t="s">
        <x:v>3</x:v>
      </x:c>
      <x:c r="B714" s="8" t="s">
        <x:v>4</x:v>
      </x:c>
      <x:c r="C714" s="8"/>
      <x:c r="D714" s="7" t="s">
        <x:v>5</x:v>
      </x:c>
      <x:c r="E714" s="7"/>
      <x:c r="F714" s="7" t="s">
        <x:v>6</x:v>
      </x:c>
      <x:c r="G714" s="7"/>
      <x:c r="H714" s="7" t="s">
        <x:v>7</x:v>
      </x:c>
      <x:c r="I714" s="7" t="s">
        <x:v>8</x:v>
      </x:c>
      <x:c r="J714" s="7" t="s">
        <x:v>9</x:v>
      </x:c>
      <x:c r="K714" s="7" t="s">
        <x:v>10</x:v>
      </x:c>
      <x:c r="L714" s="7"/>
      <x:c r="M714" s="7" t="s">
        <x:v>11</x:v>
      </x:c>
      <x:c r="N714" s="7" t="s">
        <x:v>12</x:v>
      </x:c>
      <x:c r="O714" s="7" t="s">
        <x:v>6</x:v>
      </x:c>
      <x:c r="P714" s="7" t="s">
        <x:v>13</x:v>
      </x:c>
      <x:c r="Q714" s="7" t="s">
        <x:v>14</x:v>
      </x:c>
      <x:c r="R714" s="9" t="s">
        <x:v>15</x:v>
      </x:c>
      <x:c r="S714" s="9" t="s">
        <x:v>16</x:v>
      </x:c>
      <x:c r="T714"/>
    </x:row>
    <x:row r="715" ht="22.200000762939453" hidden="0">
      <x:c r="A715" s="10" t="s">
        <x:v>18</x:v>
      </x:c>
      <x:c r="B715" s="10"/>
      <x:c r="C715" s="10"/>
      <x:c r="D715" s="10" t="n">
        <x:v>18</x:v>
      </x:c>
      <x:c r="E715" s="10"/>
      <x:c r="F715" s="10"/>
      <x:c r="G715" s="10"/>
      <x:c r="H715" s="10" t="n">
        <x:v>69</x:v>
      </x:c>
      <x:c r="I715" s="11" t="n">
        <x:f aca="0">ROUND((IF((B715*C715)/90000&lt;1,1))+IF((B715*C715)/90000&gt;=1,(B715*C715)/90000),1.1)</x:f>
        <x:v>1</x:v>
      </x:c>
      <x:c r="J715" s="11" t="n">
        <x:f aca="0">SUM(F715*I715)</x:f>
        <x:v>0</x:v>
      </x:c>
      <x:c r="K715" s="11" t="n">
        <x:f aca="0">SUM(H715*J715)</x:f>
        <x:v>0</x:v>
      </x:c>
      <x:c r="L715" s="11"/>
      <x:c r="M715" s="11" t="n">
        <x:f aca="0">SUM(C715-1)</x:f>
        <x:v>-1</x:v>
      </x:c>
      <x:c r="N715" s="11" t="n">
        <x:f aca="0">SUM(B715-1)</x:f>
        <x:v>-1</x:v>
      </x:c>
      <x:c r="O715" s="11" t="n">
        <x:f aca="0">SUM(F715*1)</x:f>
        <x:v>0</x:v>
      </x:c>
      <x:c r="P715" s="11"/>
      <x:c r="Q715" s="11" t="str">
        <x:f aca="0">A715</x:f>
        <x:v>側板</x:v>
      </x:c>
      <x:c r="R715" s="1" t="n">
        <x:f aca="0">SUM(B715*2+C715*2)*F715</x:f>
        <x:v>0</x:v>
      </x:c>
      <x:c r="T715"/>
    </x:row>
    <x:row r="716" ht="22.200000762939453" hidden="0">
      <x:c r="A716" s="10" t="s">
        <x:v>18</x:v>
      </x:c>
      <x:c r="B716" s="10"/>
      <x:c r="C716" s="10"/>
      <x:c r="D716" s="10" t="n">
        <x:v>18</x:v>
      </x:c>
      <x:c r="E716" s="10"/>
      <x:c r="F716" s="10"/>
      <x:c r="G716" s="10"/>
      <x:c r="H716" s="10" t="n">
        <x:v>69</x:v>
      </x:c>
      <x:c r="I716" s="11" t="n">
        <x:f aca="0">ROUND((IF((B716*C716)/90000&lt;1,1))+IF((B716*C716)/90000&gt;=1,(B716*C716)/90000),1.1)</x:f>
        <x:v>1</x:v>
      </x:c>
      <x:c r="J716" s="11" t="n">
        <x:f aca="0">SUM(F716*I716)</x:f>
        <x:v>0</x:v>
      </x:c>
      <x:c r="K716" s="11" t="n">
        <x:f aca="0">SUM(H716*J716)</x:f>
        <x:v>0</x:v>
      </x:c>
      <x:c r="L716" s="11"/>
      <x:c r="M716" s="11" t="n">
        <x:f aca="0">SUM(C716-1)</x:f>
        <x:v>-1</x:v>
      </x:c>
      <x:c r="N716" s="11" t="n">
        <x:f aca="0">SUM(B716-1)</x:f>
        <x:v>-1</x:v>
      </x:c>
      <x:c r="O716" s="11" t="n">
        <x:f aca="0">SUM(F716*1)</x:f>
        <x:v>0</x:v>
      </x:c>
      <x:c r="P716" s="11"/>
      <x:c r="Q716" s="11" t="str">
        <x:f aca="0">A716</x:f>
        <x:v>側板</x:v>
      </x:c>
      <x:c r="R716" s="1" t="n">
        <x:f aca="0">SUM(B716*2+C716*2)*F716</x:f>
        <x:v>0</x:v>
      </x:c>
      <x:c r="T716"/>
    </x:row>
    <x:row r="717" ht="22.200000762939453" hidden="0">
      <x:c r="A717" s="10" t="s">
        <x:v>18</x:v>
      </x:c>
      <x:c r="B717" s="10"/>
      <x:c r="C717" s="10"/>
      <x:c r="D717" s="10" t="n">
        <x:v>18</x:v>
      </x:c>
      <x:c r="E717" s="10"/>
      <x:c r="F717" s="10"/>
      <x:c r="G717" s="10"/>
      <x:c r="H717" s="10" t="n">
        <x:v>69</x:v>
      </x:c>
      <x:c r="I717" s="11" t="n">
        <x:f aca="0">ROUND((IF((B717*C717)/90000&lt;1,1))+IF((B717*C717)/90000&gt;=1,(B717*C717)/90000),1.1)</x:f>
        <x:v>1</x:v>
      </x:c>
      <x:c r="J717" s="11" t="n">
        <x:f aca="0">SUM(F717*I717)</x:f>
        <x:v>0</x:v>
      </x:c>
      <x:c r="K717" s="11" t="n">
        <x:f aca="0">SUM(H717*J717)</x:f>
        <x:v>0</x:v>
      </x:c>
      <x:c r="L717" s="11"/>
      <x:c r="M717" s="11" t="n">
        <x:f aca="0">SUM(C717-1)</x:f>
        <x:v>-1</x:v>
      </x:c>
      <x:c r="N717" s="11" t="n">
        <x:f aca="0">SUM(B717-1)</x:f>
        <x:v>-1</x:v>
      </x:c>
      <x:c r="O717" s="11" t="n">
        <x:f aca="0">SUM(F717*1)</x:f>
        <x:v>0</x:v>
      </x:c>
      <x:c r="P717" s="11"/>
      <x:c r="Q717" s="11" t="str">
        <x:f aca="0">A717</x:f>
        <x:v>側板</x:v>
      </x:c>
      <x:c r="R717" s="1" t="n">
        <x:f aca="0">SUM(B717*2+C717*2)*F717</x:f>
        <x:v>0</x:v>
      </x:c>
      <x:c r="T717"/>
    </x:row>
    <x:row r="718" ht="22.200000762939453" hidden="0">
      <x:c r="A718" s="10" t="s">
        <x:v>19</x:v>
      </x:c>
      <x:c r="B718" s="10"/>
      <x:c r="C718" s="10"/>
      <x:c r="D718" s="10" t="n">
        <x:v>18</x:v>
      </x:c>
      <x:c r="E718" s="10"/>
      <x:c r="F718" s="10"/>
      <x:c r="G718" s="10"/>
      <x:c r="H718" s="10" t="n">
        <x:v>69</x:v>
      </x:c>
      <x:c r="I718" s="11" t="n">
        <x:f aca="0">ROUND((IF((B718*C718)/90000&lt;1,1))+IF((B718*C718)/90000&gt;=1,(B718*C718)/90000),1.1)</x:f>
        <x:v>1</x:v>
      </x:c>
      <x:c r="J718" s="11" t="n">
        <x:f aca="0">SUM(F718*I718)</x:f>
        <x:v>0</x:v>
      </x:c>
      <x:c r="K718" s="11" t="n">
        <x:f aca="0">SUM(H718*J718)</x:f>
        <x:v>0</x:v>
      </x:c>
      <x:c r="L718" s="11"/>
      <x:c r="M718" s="11" t="n">
        <x:f aca="0">SUM(C718)</x:f>
        <x:v>0</x:v>
      </x:c>
      <x:c r="N718" s="11" t="n">
        <x:f aca="0">SUM(B718-1)</x:f>
        <x:v>-1</x:v>
      </x:c>
      <x:c r="O718" s="11" t="n">
        <x:f aca="0">SUM(F718*1)</x:f>
        <x:v>0</x:v>
      </x:c>
      <x:c r="P718" s="11"/>
      <x:c r="Q718" s="11" t="str">
        <x:f aca="0">A718</x:f>
        <x:v>頂底板</x:v>
      </x:c>
      <x:c r="R718" s="1" t="n">
        <x:f aca="0">SUM(C718*2)*F718</x:f>
        <x:v>0</x:v>
      </x:c>
      <x:c r="T718"/>
    </x:row>
    <x:row r="719" ht="22.200000762939453" hidden="0">
      <x:c r="A719" s="10" t="s">
        <x:v>19</x:v>
      </x:c>
      <x:c r="B719" s="10"/>
      <x:c r="C719" s="10"/>
      <x:c r="D719" s="10" t="n">
        <x:v>18</x:v>
      </x:c>
      <x:c r="E719" s="10"/>
      <x:c r="F719" s="10"/>
      <x:c r="G719" s="10"/>
      <x:c r="H719" s="10" t="n">
        <x:v>69</x:v>
      </x:c>
      <x:c r="I719" s="11" t="n">
        <x:f aca="0">ROUND((IF((B719*C719)/90000&lt;1,1))+IF((B719*C719)/90000&gt;=1,(B719*C719)/90000),1.1)</x:f>
        <x:v>1</x:v>
      </x:c>
      <x:c r="J719" s="11" t="n">
        <x:f aca="0">SUM(F719*I719)</x:f>
        <x:v>0</x:v>
      </x:c>
      <x:c r="K719" s="11" t="n">
        <x:f aca="0">SUM(H719*J719)</x:f>
        <x:v>0</x:v>
      </x:c>
      <x:c r="L719" s="11"/>
      <x:c r="M719" s="11" t="n">
        <x:f aca="0">SUM(C719)</x:f>
        <x:v>0</x:v>
      </x:c>
      <x:c r="N719" s="11" t="n">
        <x:f aca="0">SUM(B719-1)</x:f>
        <x:v>-1</x:v>
      </x:c>
      <x:c r="O719" s="11" t="n">
        <x:f aca="0">SUM(F719*1)</x:f>
        <x:v>0</x:v>
      </x:c>
      <x:c r="P719" s="11"/>
      <x:c r="Q719" s="11" t="str">
        <x:f aca="0">A719</x:f>
        <x:v>頂底板</x:v>
      </x:c>
      <x:c r="R719" s="1" t="n">
        <x:f aca="0">SUM(C719*2)*F719</x:f>
        <x:v>0</x:v>
      </x:c>
      <x:c r="T719"/>
    </x:row>
    <x:row r="720" ht="22.200000762939453" hidden="0">
      <x:c r="A720" s="10" t="s">
        <x:v>19</x:v>
      </x:c>
      <x:c r="B720" s="10"/>
      <x:c r="C720" s="10"/>
      <x:c r="D720" s="10" t="n">
        <x:v>18</x:v>
      </x:c>
      <x:c r="E720" s="10"/>
      <x:c r="F720" s="10"/>
      <x:c r="G720" s="10"/>
      <x:c r="H720" s="10" t="n">
        <x:v>69</x:v>
      </x:c>
      <x:c r="I720" s="11" t="n">
        <x:f aca="0">ROUND((IF((B720*C720)/90000&lt;1,1))+IF((B720*C720)/90000&gt;=1,(B720*C720)/90000),1.1)</x:f>
        <x:v>1</x:v>
      </x:c>
      <x:c r="J720" s="11" t="n">
        <x:f aca="0">SUM(F720*I720)</x:f>
        <x:v>0</x:v>
      </x:c>
      <x:c r="K720" s="11" t="n">
        <x:f aca="0">SUM(H720*J720)</x:f>
        <x:v>0</x:v>
      </x:c>
      <x:c r="L720" s="11"/>
      <x:c r="M720" s="11" t="n">
        <x:f aca="0">SUM(C720)</x:f>
        <x:v>0</x:v>
      </x:c>
      <x:c r="N720" s="11" t="n">
        <x:f aca="0">SUM(B720-1)</x:f>
        <x:v>-1</x:v>
      </x:c>
      <x:c r="O720" s="11" t="n">
        <x:f aca="0">SUM(F720*1)</x:f>
        <x:v>0</x:v>
      </x:c>
      <x:c r="P720" s="11"/>
      <x:c r="Q720" s="11" t="str">
        <x:f aca="0">A720</x:f>
        <x:v>頂底板</x:v>
      </x:c>
      <x:c r="R720" s="1" t="n">
        <x:f aca="0">SUM(C720*2)*F720</x:f>
        <x:v>0</x:v>
      </x:c>
      <x:c r="T720"/>
    </x:row>
    <x:row r="721" ht="22.200000762939453" hidden="0">
      <x:c r="A721" s="10" t="s">
        <x:v>20</x:v>
      </x:c>
      <x:c r="B721" s="10"/>
      <x:c r="C721" s="10"/>
      <x:c r="D721" s="10" t="n">
        <x:v>18</x:v>
      </x:c>
      <x:c r="E721" s="10"/>
      <x:c r="F721" s="10"/>
      <x:c r="G721" s="10"/>
      <x:c r="H721" s="10" t="n">
        <x:v>74</x:v>
      </x:c>
      <x:c r="I721" s="11" t="n">
        <x:f aca="0">ROUND((IF((B721*C721)/90000&lt;1,1))+IF((B721*C721)/90000&gt;=1,(B721*C721)/90000),1.1)</x:f>
        <x:v>1</x:v>
      </x:c>
      <x:c r="J721" s="11" t="n">
        <x:f aca="0">SUM(F721*I721)</x:f>
        <x:v>0</x:v>
      </x:c>
      <x:c r="K721" s="11" t="n">
        <x:f aca="0">SUM(H721*J721)</x:f>
        <x:v>0</x:v>
      </x:c>
      <x:c r="L721" s="11"/>
      <x:c r="M721" s="11" t="n">
        <x:f aca="0">SUM(C721)</x:f>
        <x:v>0</x:v>
      </x:c>
      <x:c r="N721" s="11" t="n">
        <x:f aca="0">SUM(B721-1)</x:f>
        <x:v>-1</x:v>
      </x:c>
      <x:c r="O721" s="11" t="n">
        <x:f aca="0">SUM(F721*1)</x:f>
        <x:v>0</x:v>
      </x:c>
      <x:c r="P721" s="11"/>
      <x:c r="Q721" s="11" t="str">
        <x:f aca="0">A721</x:f>
        <x:v>中立板</x:v>
      </x:c>
      <x:c r="R721" s="1" t="n">
        <x:f aca="0">SUM(C721*1)*F721</x:f>
        <x:v>0</x:v>
      </x:c>
      <x:c r="T721"/>
    </x:row>
    <x:row r="722" ht="22.200000762939453" hidden="0">
      <x:c r="A722" s="10" t="s">
        <x:v>20</x:v>
      </x:c>
      <x:c r="B722" s="10"/>
      <x:c r="C722" s="10"/>
      <x:c r="D722" s="10" t="n">
        <x:v>18</x:v>
      </x:c>
      <x:c r="E722" s="10"/>
      <x:c r="F722" s="10"/>
      <x:c r="G722" s="10"/>
      <x:c r="H722" s="10" t="n">
        <x:v>74</x:v>
      </x:c>
      <x:c r="I722" s="11" t="n">
        <x:f aca="0">ROUND((IF((B722*C722)/90000&lt;1,1))+IF((B722*C722)/90000&gt;=1,(B722*C722)/90000),1.1)</x:f>
        <x:v>1</x:v>
      </x:c>
      <x:c r="J722" s="11" t="n">
        <x:f aca="0">SUM(F722*I722)</x:f>
        <x:v>0</x:v>
      </x:c>
      <x:c r="K722" s="11" t="n">
        <x:f aca="0">SUM(H722*J722)</x:f>
        <x:v>0</x:v>
      </x:c>
      <x:c r="L722" s="11"/>
      <x:c r="M722" s="11" t="n">
        <x:f aca="0">SUM(C722)</x:f>
        <x:v>0</x:v>
      </x:c>
      <x:c r="N722" s="11" t="n">
        <x:f aca="0">SUM(B722-1)</x:f>
        <x:v>-1</x:v>
      </x:c>
      <x:c r="O722" s="11" t="n">
        <x:f aca="0">SUM(F722*1)</x:f>
        <x:v>0</x:v>
      </x:c>
      <x:c r="P722" s="11"/>
      <x:c r="Q722" s="11" t="str">
        <x:f aca="0">A722</x:f>
        <x:v>中立板</x:v>
      </x:c>
      <x:c r="R722" s="1" t="n">
        <x:f aca="0">SUM(C722*1)*F722</x:f>
        <x:v>0</x:v>
      </x:c>
      <x:c r="T722"/>
    </x:row>
    <x:row r="723" ht="22.200000762939453" hidden="0">
      <x:c r="A723" s="10" t="s">
        <x:v>21</x:v>
      </x:c>
      <x:c r="B723" s="10"/>
      <x:c r="C723" s="10"/>
      <x:c r="D723" s="10" t="n">
        <x:v>18</x:v>
      </x:c>
      <x:c r="E723" s="10"/>
      <x:c r="F723" s="10"/>
      <x:c r="G723" s="10"/>
      <x:c r="H723" s="10" t="n">
        <x:v>69</x:v>
      </x:c>
      <x:c r="I723" s="11" t="n">
        <x:f aca="0">ROUND((IF((B723*C723)/90000&lt;1,1))+IF((B723*C723)/90000&gt;=1,(B723*C723)/90000),1.1)</x:f>
        <x:v>1</x:v>
      </x:c>
      <x:c r="J723" s="11" t="n">
        <x:f aca="0">SUM(F723*I723)</x:f>
        <x:v>0</x:v>
      </x:c>
      <x:c r="K723" s="11" t="n">
        <x:f aca="0">SUM(H723*J723)</x:f>
        <x:v>0</x:v>
      </x:c>
      <x:c r="L723" s="11"/>
      <x:c r="M723" s="11" t="n">
        <x:f aca="0">SUM(C723)</x:f>
        <x:v>0</x:v>
      </x:c>
      <x:c r="N723" s="11" t="n">
        <x:f aca="0">SUM(B723-1)</x:f>
        <x:v>-1</x:v>
      </x:c>
      <x:c r="O723" s="11" t="n">
        <x:f aca="0">SUM(F723*1)</x:f>
        <x:v>0</x:v>
      </x:c>
      <x:c r="P723" s="11"/>
      <x:c r="Q723" s="11" t="str">
        <x:f aca="0">A723</x:f>
        <x:v>固格板</x:v>
      </x:c>
      <x:c r="R723" s="1" t="n">
        <x:f aca="0">SUM(C723*1)*F723</x:f>
        <x:v>0</x:v>
      </x:c>
      <x:c r="T723"/>
    </x:row>
    <x:row r="724" ht="22.200000762939453" hidden="0">
      <x:c r="A724" s="10" t="s">
        <x:v>21</x:v>
      </x:c>
      <x:c r="B724" s="10"/>
      <x:c r="C724" s="10"/>
      <x:c r="D724" s="10" t="n">
        <x:v>18</x:v>
      </x:c>
      <x:c r="E724" s="10"/>
      <x:c r="F724" s="10"/>
      <x:c r="G724" s="10"/>
      <x:c r="H724" s="10" t="n">
        <x:v>69</x:v>
      </x:c>
      <x:c r="I724" s="11" t="n">
        <x:f aca="0">ROUND((IF((B724*C724)/90000&lt;1,1))+IF((B724*C724)/90000&gt;=1,(B724*C724)/90000),1.1)</x:f>
        <x:v>1</x:v>
      </x:c>
      <x:c r="J724" s="11" t="n">
        <x:f aca="0">SUM(F724*I724)</x:f>
        <x:v>0</x:v>
      </x:c>
      <x:c r="K724" s="11" t="n">
        <x:f aca="0">SUM(H724*J724)</x:f>
        <x:v>0</x:v>
      </x:c>
      <x:c r="L724" s="11"/>
      <x:c r="M724" s="11" t="n">
        <x:f aca="0">SUM(C724)</x:f>
        <x:v>0</x:v>
      </x:c>
      <x:c r="N724" s="11" t="n">
        <x:f aca="0">SUM(B724-1)</x:f>
        <x:v>-1</x:v>
      </x:c>
      <x:c r="O724" s="11" t="n">
        <x:f aca="0">SUM(F724*1)</x:f>
        <x:v>0</x:v>
      </x:c>
      <x:c r="P724" s="11"/>
      <x:c r="Q724" s="11" t="str">
        <x:f aca="0">A724</x:f>
        <x:v>固格板</x:v>
      </x:c>
      <x:c r="R724" s="1" t="n">
        <x:f aca="0">SUM(C724*1)*F724</x:f>
        <x:v>0</x:v>
      </x:c>
      <x:c r="T724"/>
    </x:row>
    <x:row r="725" ht="22.200000762939453" hidden="0">
      <x:c r="A725" s="10" t="s">
        <x:v>21</x:v>
      </x:c>
      <x:c r="B725" s="10"/>
      <x:c r="C725" s="10"/>
      <x:c r="D725" s="10" t="n">
        <x:v>18</x:v>
      </x:c>
      <x:c r="E725" s="10"/>
      <x:c r="F725" s="10"/>
      <x:c r="G725" s="10"/>
      <x:c r="H725" s="10" t="n">
        <x:v>69</x:v>
      </x:c>
      <x:c r="I725" s="11" t="n">
        <x:f aca="0">ROUND((IF((B725*C725)/90000&lt;1,1))+IF((B725*C725)/90000&gt;=1,(B725*C725)/90000),1.1)</x:f>
        <x:v>1</x:v>
      </x:c>
      <x:c r="J725" s="11" t="n">
        <x:f aca="0">SUM(F725*I725)</x:f>
        <x:v>0</x:v>
      </x:c>
      <x:c r="K725" s="11" t="n">
        <x:f aca="0">SUM(H725*J725)</x:f>
        <x:v>0</x:v>
      </x:c>
      <x:c r="L725" s="11"/>
      <x:c r="M725" s="11" t="n">
        <x:f aca="0">SUM(C725)</x:f>
        <x:v>0</x:v>
      </x:c>
      <x:c r="N725" s="11" t="n">
        <x:f aca="0">SUM(B725-1)</x:f>
        <x:v>-1</x:v>
      </x:c>
      <x:c r="O725" s="11" t="n">
        <x:f aca="0">SUM(F725*1)</x:f>
        <x:v>0</x:v>
      </x:c>
      <x:c r="P725" s="11"/>
      <x:c r="Q725" s="11" t="str">
        <x:f aca="0">A725</x:f>
        <x:v>固格板</x:v>
      </x:c>
      <x:c r="R725" s="1" t="n">
        <x:f aca="0">SUM(C725*1)*F725</x:f>
        <x:v>0</x:v>
      </x:c>
      <x:c r="T725"/>
    </x:row>
    <x:row r="726" ht="22.200000762939453" hidden="0">
      <x:c r="A726" s="10" t="s">
        <x:v>22</x:v>
      </x:c>
      <x:c r="B726" s="10"/>
      <x:c r="C726" s="10"/>
      <x:c r="D726" s="10" t="n">
        <x:v>18</x:v>
      </x:c>
      <x:c r="E726" s="10"/>
      <x:c r="F726" s="10"/>
      <x:c r="G726" s="10"/>
      <x:c r="H726" s="10" t="n">
        <x:v>69</x:v>
      </x:c>
      <x:c r="I726" s="11" t="n">
        <x:f aca="0">ROUND((IF((B726*C726)/90000&lt;1,1))+IF((B726*C726)/90000&gt;=1,(B726*C726)/90000),1.1)</x:f>
        <x:v>1</x:v>
      </x:c>
      <x:c r="J726" s="11" t="n">
        <x:f aca="0">SUM(F726*I726)</x:f>
        <x:v>0</x:v>
      </x:c>
      <x:c r="K726" s="11" t="n">
        <x:f aca="0">SUM(H726*J726)</x:f>
        <x:v>0</x:v>
      </x:c>
      <x:c r="L726" s="11"/>
      <x:c r="M726" s="11" t="n">
        <x:f aca="0">SUM(C726-1)</x:f>
        <x:v>-1</x:v>
      </x:c>
      <x:c r="N726" s="11" t="n">
        <x:f aca="0">SUM(B726-1)</x:f>
        <x:v>-1</x:v>
      </x:c>
      <x:c r="O726" s="11" t="n">
        <x:f aca="0">SUM(F726*1)</x:f>
        <x:v>0</x:v>
      </x:c>
      <x:c r="P726" s="11"/>
      <x:c r="Q726" s="11" t="str">
        <x:f aca="0">A726</x:f>
        <x:v>活格板</x:v>
      </x:c>
      <x:c r="R726" s="1" t="n">
        <x:f aca="0">SUM(B726*2+C726*2)*F726</x:f>
        <x:v>0</x:v>
      </x:c>
      <x:c r="T726"/>
    </x:row>
    <x:row r="727" ht="22.200000762939453" hidden="0">
      <x:c r="A727" s="10" t="s">
        <x:v>22</x:v>
      </x:c>
      <x:c r="B727" s="10"/>
      <x:c r="C727" s="10"/>
      <x:c r="D727" s="10" t="n">
        <x:v>18</x:v>
      </x:c>
      <x:c r="E727" s="10"/>
      <x:c r="F727" s="10"/>
      <x:c r="G727" s="10"/>
      <x:c r="H727" s="10" t="n">
        <x:v>69</x:v>
      </x:c>
      <x:c r="I727" s="11" t="n">
        <x:f aca="0">ROUND((IF((B727*C727)/90000&lt;1,1))+IF((B727*C727)/90000&gt;=1,(B727*C727)/90000),1.1)</x:f>
        <x:v>1</x:v>
      </x:c>
      <x:c r="J727" s="11" t="n">
        <x:f aca="0">SUM(F727*I727)</x:f>
        <x:v>0</x:v>
      </x:c>
      <x:c r="K727" s="11" t="n">
        <x:f aca="0">SUM(H727*J727)</x:f>
        <x:v>0</x:v>
      </x:c>
      <x:c r="L727" s="11"/>
      <x:c r="M727" s="11" t="n">
        <x:f aca="0">SUM(C727-1)</x:f>
        <x:v>-1</x:v>
      </x:c>
      <x:c r="N727" s="11" t="n">
        <x:f aca="0">SUM(B727-1)</x:f>
        <x:v>-1</x:v>
      </x:c>
      <x:c r="O727" s="11" t="n">
        <x:f aca="0">SUM(F727*1)</x:f>
        <x:v>0</x:v>
      </x:c>
      <x:c r="P727" s="11"/>
      <x:c r="Q727" s="11" t="str">
        <x:f aca="0">A727</x:f>
        <x:v>活格板</x:v>
      </x:c>
      <x:c r="R727" s="1" t="n">
        <x:f aca="0">SUM(B727*2+C727*2)*F727</x:f>
        <x:v>0</x:v>
      </x:c>
      <x:c r="T727"/>
    </x:row>
    <x:row r="728" ht="22.200000762939453" hidden="0">
      <x:c r="A728" s="10" t="s">
        <x:v>22</x:v>
      </x:c>
      <x:c r="B728" s="10"/>
      <x:c r="C728" s="10"/>
      <x:c r="D728" s="10" t="n">
        <x:v>18</x:v>
      </x:c>
      <x:c r="E728" s="10"/>
      <x:c r="F728" s="10"/>
      <x:c r="G728" s="10"/>
      <x:c r="H728" s="10" t="n">
        <x:v>69</x:v>
      </x:c>
      <x:c r="I728" s="11" t="n">
        <x:f aca="0">ROUND((IF((B728*C728)/90000&lt;1,1))+IF((B728*C728)/90000&gt;=1,(B728*C728)/90000),1.1)</x:f>
        <x:v>1</x:v>
      </x:c>
      <x:c r="J728" s="11" t="n">
        <x:f aca="0">SUM(F728*I728)</x:f>
        <x:v>0</x:v>
      </x:c>
      <x:c r="K728" s="11" t="n">
        <x:f aca="0">SUM(H728*J728)</x:f>
        <x:v>0</x:v>
      </x:c>
      <x:c r="L728" s="11"/>
      <x:c r="M728" s="11" t="n">
        <x:f aca="0">SUM(C728-1)</x:f>
        <x:v>-1</x:v>
      </x:c>
      <x:c r="N728" s="11" t="n">
        <x:f aca="0">SUM(B728-1)</x:f>
        <x:v>-1</x:v>
      </x:c>
      <x:c r="O728" s="11" t="n">
        <x:f aca="0">SUM(F728*1)</x:f>
        <x:v>0</x:v>
      </x:c>
      <x:c r="P728" s="11"/>
      <x:c r="Q728" s="11" t="str">
        <x:f aca="0">A728</x:f>
        <x:v>活格板</x:v>
      </x:c>
      <x:c r="R728" s="1" t="n">
        <x:f aca="0">SUM(B728*2+C728*2)*F728</x:f>
        <x:v>0</x:v>
      </x:c>
      <x:c r="T728"/>
    </x:row>
    <x:row r="729" ht="22.200000762939453" hidden="0">
      <x:c r="A729" s="10" t="s">
        <x:v>22</x:v>
      </x:c>
      <x:c r="B729" s="10"/>
      <x:c r="C729" s="10"/>
      <x:c r="D729" s="10" t="n">
        <x:v>18</x:v>
      </x:c>
      <x:c r="E729" s="10"/>
      <x:c r="F729" s="10"/>
      <x:c r="G729" s="10"/>
      <x:c r="H729" s="10" t="n">
        <x:v>69</x:v>
      </x:c>
      <x:c r="I729" s="11" t="n">
        <x:f aca="0">ROUND((IF((B729*C729)/90000&lt;1,1))+IF((B729*C729)/90000&gt;=1,(B729*C729)/90000),1.1)</x:f>
        <x:v>1</x:v>
      </x:c>
      <x:c r="J729" s="11" t="n">
        <x:f aca="0">SUM(F729*I729)</x:f>
        <x:v>0</x:v>
      </x:c>
      <x:c r="K729" s="11" t="n">
        <x:f aca="0">SUM(H729*J729)</x:f>
        <x:v>0</x:v>
      </x:c>
      <x:c r="L729" s="11"/>
      <x:c r="M729" s="11" t="n">
        <x:f aca="0">SUM(C729-1)</x:f>
        <x:v>-1</x:v>
      </x:c>
      <x:c r="N729" s="11" t="n">
        <x:f aca="0">SUM(B729-1)</x:f>
        <x:v>-1</x:v>
      </x:c>
      <x:c r="O729" s="11" t="n">
        <x:f aca="0">SUM(F729*1)</x:f>
        <x:v>0</x:v>
      </x:c>
      <x:c r="P729" s="11"/>
      <x:c r="Q729" s="11" t="str">
        <x:f aca="0">A729</x:f>
        <x:v>活格板</x:v>
      </x:c>
      <x:c r="R729" s="1" t="n">
        <x:f aca="0">SUM(B729*2+C729*2)*F729</x:f>
        <x:v>0</x:v>
      </x:c>
      <x:c r="T729"/>
    </x:row>
    <x:row r="730" ht="22.200000762939453" hidden="0">
      <x:c r="A730" s="10" t="s">
        <x:v>23</x:v>
      </x:c>
      <x:c r="B730" s="10"/>
      <x:c r="C730" s="10"/>
      <x:c r="D730" s="10" t="n">
        <x:v>18</x:v>
      </x:c>
      <x:c r="E730" s="10"/>
      <x:c r="F730" s="10"/>
      <x:c r="G730" s="10"/>
      <x:c r="H730" s="10" t="n">
        <x:v>69</x:v>
      </x:c>
      <x:c r="I730" s="11" t="n">
        <x:f aca="0">ROUND((IF((B730*C730)/90000&lt;1,1))+IF((B730*C730)/90000&gt;=1,(B730*C730)/90000),1.1)</x:f>
        <x:v>1</x:v>
      </x:c>
      <x:c r="J730" s="11" t="n">
        <x:f aca="0">SUM(F730*I730)</x:f>
        <x:v>0</x:v>
      </x:c>
      <x:c r="K730" s="11" t="n">
        <x:f aca="0">SUM(H730*J730)</x:f>
        <x:v>0</x:v>
      </x:c>
      <x:c r="L730" s="11"/>
      <x:c r="M730" s="11" t="n">
        <x:f aca="0">SUM(C730-1)</x:f>
        <x:v>-1</x:v>
      </x:c>
      <x:c r="N730" s="11" t="n">
        <x:f aca="0">SUM(B730-1)</x:f>
        <x:v>-1</x:v>
      </x:c>
      <x:c r="O730" s="11" t="n">
        <x:f aca="0">SUM(F730*1)</x:f>
        <x:v>0</x:v>
      </x:c>
      <x:c r="P730" s="11"/>
      <x:c r="Q730" s="11" t="str">
        <x:f aca="0">A730</x:f>
        <x:v>抽框</x:v>
      </x:c>
      <x:c r="R730" s="1" t="n">
        <x:f aca="0">SUM(B730*2+C730*2)*F730</x:f>
        <x:v>0</x:v>
      </x:c>
      <x:c r="T730"/>
    </x:row>
    <x:row r="731" ht="22.200000762939453" hidden="0">
      <x:c r="A731" s="10" t="s">
        <x:v>24</x:v>
      </x:c>
      <x:c r="B731" s="10"/>
      <x:c r="C731" s="10"/>
      <x:c r="D731" s="10" t="n">
        <x:v>18</x:v>
      </x:c>
      <x:c r="E731" s="10"/>
      <x:c r="F731" s="10"/>
      <x:c r="G731" s="10"/>
      <x:c r="H731" s="10" t="n">
        <x:v>69</x:v>
      </x:c>
      <x:c r="I731" s="11" t="n">
        <x:f aca="0">ROUND((IF((B731*C731)/90000&lt;1,1))+IF((B731*C731)/90000&gt;=1,(B731*C731)/90000),1.1)</x:f>
        <x:v>1</x:v>
      </x:c>
      <x:c r="J731" s="11" t="n">
        <x:f aca="0">SUM(F731*I731)</x:f>
        <x:v>0</x:v>
      </x:c>
      <x:c r="K731" s="11" t="n">
        <x:f aca="0">SUM(H731*J731)</x:f>
        <x:v>0</x:v>
      </x:c>
      <x:c r="L731" s="11"/>
      <x:c r="M731" s="11" t="n">
        <x:f aca="0">SUM(C731-1)</x:f>
        <x:v>-1</x:v>
      </x:c>
      <x:c r="N731" s="11" t="n">
        <x:f aca="0">SUM(B731-1)</x:f>
        <x:v>-1</x:v>
      </x:c>
      <x:c r="O731" s="11" t="n">
        <x:f aca="0">SUM(F731*1)</x:f>
        <x:v>0</x:v>
      </x:c>
      <x:c r="P731" s="11"/>
      <x:c r="Q731" s="11" t="str">
        <x:f aca="0">A731</x:f>
        <x:v>框中立</x:v>
      </x:c>
      <x:c r="R731" s="1" t="n">
        <x:f aca="0">SUM(B731*2+C731*2)*F731</x:f>
        <x:v>0</x:v>
      </x:c>
      <x:c r="T731"/>
    </x:row>
    <x:row r="732" ht="22.200000762939453" hidden="0">
      <x:c r="A732" s="10" t="s">
        <x:v>25</x:v>
      </x:c>
      <x:c r="B732" s="10"/>
      <x:c r="C732" s="10"/>
      <x:c r="D732" s="10" t="n">
        <x:v>18</x:v>
      </x:c>
      <x:c r="E732" s="10"/>
      <x:c r="F732" s="10"/>
      <x:c r="G732" s="10"/>
      <x:c r="H732" s="10" t="n">
        <x:v>69</x:v>
      </x:c>
      <x:c r="I732" s="11" t="n">
        <x:f aca="0">ROUND((IF((B732*C732)/90000&lt;1,1))+IF((B732*C732)/90000&gt;=1,(B732*C732)/90000),1.1)</x:f>
        <x:v>1</x:v>
      </x:c>
      <x:c r="J732" s="11" t="n">
        <x:f aca="0">SUM(F732*I732)</x:f>
        <x:v>0</x:v>
      </x:c>
      <x:c r="K732" s="11" t="n">
        <x:f aca="0">SUM(H732*J732)</x:f>
        <x:v>0</x:v>
      </x:c>
      <x:c r="L732" s="11"/>
      <x:c r="M732" s="11" t="n">
        <x:f aca="0">SUM(C732)</x:f>
        <x:v>0</x:v>
      </x:c>
      <x:c r="N732" s="11" t="n">
        <x:f aca="0">SUM(B732-1)</x:f>
        <x:v>-1</x:v>
      </x:c>
      <x:c r="O732" s="11" t="n">
        <x:f aca="0">SUM(F732*1)</x:f>
        <x:v>0</x:v>
      </x:c>
      <x:c r="P732" s="11"/>
      <x:c r="Q732" s="11" t="str">
        <x:f aca="0">A732</x:f>
        <x:v>橫木</x:v>
      </x:c>
      <x:c r="R732" s="1" t="n">
        <x:f aca="0">SUM(C732*2)*F732</x:f>
        <x:v>0</x:v>
      </x:c>
      <x:c r="T732"/>
    </x:row>
    <x:row r="733" ht="22.200000762939453" hidden="0">
      <x:c r="A733" s="10" t="s">
        <x:v>26</x:v>
      </x:c>
      <x:c r="B733" s="10"/>
      <x:c r="C733" s="10"/>
      <x:c r="D733" s="10" t="n">
        <x:v>18</x:v>
      </x:c>
      <x:c r="E733" s="10"/>
      <x:c r="F733" s="10"/>
      <x:c r="G733" s="10"/>
      <x:c r="H733" s="10" t="n">
        <x:v>69</x:v>
      </x:c>
      <x:c r="I733" s="11" t="n">
        <x:f aca="0">ROUND((IF((B733*C733)/90000&lt;1,1))+IF((B733*C733)/90000&gt;=1,(B733*C733)/90000),1.1)</x:f>
        <x:v>1</x:v>
      </x:c>
      <x:c r="J733" s="11" t="n">
        <x:f aca="0">SUM(F733*I733)</x:f>
        <x:v>0</x:v>
      </x:c>
      <x:c r="K733" s="11" t="n">
        <x:f aca="0">SUM(H733*J733)</x:f>
        <x:v>0</x:v>
      </x:c>
      <x:c r="L733" s="11"/>
      <x:c r="M733" s="11" t="n">
        <x:f aca="0">SUM(C733)</x:f>
        <x:v>0</x:v>
      </x:c>
      <x:c r="N733" s="11" t="n">
        <x:f aca="0">SUM(B733-1)</x:f>
        <x:v>-1</x:v>
      </x:c>
      <x:c r="O733" s="11" t="n">
        <x:f aca="0">SUM(F733*1)</x:f>
        <x:v>0</x:v>
      </x:c>
      <x:c r="P733" s="11"/>
      <x:c r="Q733" s="11" t="str">
        <x:f aca="0">A733</x:f>
        <x:v>前抽牆</x:v>
      </x:c>
      <x:c r="R733" s="1" t="n">
        <x:f aca="0">SUM(C733*2)*F733</x:f>
        <x:v>0</x:v>
      </x:c>
      <x:c r="T733"/>
    </x:row>
    <x:row r="734" ht="22.200000762939453" hidden="0">
      <x:c r="A734" s="10" t="s">
        <x:v>26</x:v>
      </x:c>
      <x:c r="B734" s="10"/>
      <x:c r="C734" s="10"/>
      <x:c r="D734" s="10" t="n">
        <x:v>18</x:v>
      </x:c>
      <x:c r="E734" s="10"/>
      <x:c r="F734" s="10"/>
      <x:c r="G734" s="10"/>
      <x:c r="H734" s="10" t="n">
        <x:v>69</x:v>
      </x:c>
      <x:c r="I734" s="11" t="n">
        <x:f aca="0">ROUND((IF((B734*C734)/90000&lt;1,1))+IF((B734*C734)/90000&gt;=1,(B734*C734)/90000),1.1)</x:f>
        <x:v>1</x:v>
      </x:c>
      <x:c r="J734" s="11" t="n">
        <x:f aca="0">SUM(F734*I734)</x:f>
        <x:v>0</x:v>
      </x:c>
      <x:c r="K734" s="11" t="n">
        <x:f aca="0">SUM(H734*J734)</x:f>
        <x:v>0</x:v>
      </x:c>
      <x:c r="L734" s="11"/>
      <x:c r="M734" s="11" t="n">
        <x:f aca="0">SUM(C734)</x:f>
        <x:v>0</x:v>
      </x:c>
      <x:c r="N734" s="11" t="n">
        <x:f aca="0">SUM(B734-1)</x:f>
        <x:v>-1</x:v>
      </x:c>
      <x:c r="O734" s="11" t="n">
        <x:f aca="0">SUM(F734*1)</x:f>
        <x:v>0</x:v>
      </x:c>
      <x:c r="P734" s="11"/>
      <x:c r="Q734" s="11" t="str">
        <x:f aca="0">A734</x:f>
        <x:v>前抽牆</x:v>
      </x:c>
      <x:c r="R734" s="1" t="n">
        <x:f aca="0">SUM(C734*2)*F734</x:f>
        <x:v>0</x:v>
      </x:c>
      <x:c r="T734"/>
    </x:row>
    <x:row r="735" ht="22.200000762939453" hidden="0">
      <x:c r="A735" s="10" t="s">
        <x:v>27</x:v>
      </x:c>
      <x:c r="B735" s="10"/>
      <x:c r="C735" s="10"/>
      <x:c r="D735" s="10" t="n">
        <x:v>18</x:v>
      </x:c>
      <x:c r="E735" s="10"/>
      <x:c r="F735" s="10"/>
      <x:c r="G735" s="10"/>
      <x:c r="H735" s="10" t="n">
        <x:v>69</x:v>
      </x:c>
      <x:c r="I735" s="11" t="n">
        <x:f aca="0">ROUND((IF((B735*C735)/90000&lt;1,1))+IF((B735*C735)/90000&gt;=1,(B735*C735)/90000),1.1)</x:f>
        <x:v>1</x:v>
      </x:c>
      <x:c r="J735" s="11" t="n">
        <x:f aca="0">SUM(F735*I735)</x:f>
        <x:v>0</x:v>
      </x:c>
      <x:c r="K735" s="11" t="n">
        <x:f aca="0">SUM(H735*J735)</x:f>
        <x:v>0</x:v>
      </x:c>
      <x:c r="L735" s="11"/>
      <x:c r="M735" s="11" t="n">
        <x:f aca="0">SUM(C735)</x:f>
        <x:v>0</x:v>
      </x:c>
      <x:c r="N735" s="11" t="n">
        <x:f aca="0">SUM(B735-1)</x:f>
        <x:v>-1</x:v>
      </x:c>
      <x:c r="O735" s="11" t="n">
        <x:f aca="0">SUM(F735*1)</x:f>
        <x:v>0</x:v>
      </x:c>
      <x:c r="P735" s="11"/>
      <x:c r="Q735" s="11" t="str">
        <x:f aca="0">A735</x:f>
        <x:v>邊抽牆</x:v>
      </x:c>
      <x:c r="R735" s="1" t="n">
        <x:f aca="0">SUM(C735*2)*F735</x:f>
        <x:v>0</x:v>
      </x:c>
      <x:c r="T735"/>
    </x:row>
    <x:row r="736" ht="22.200000762939453" hidden="0">
      <x:c r="A736" s="10" t="s">
        <x:v>27</x:v>
      </x:c>
      <x:c r="B736" s="10"/>
      <x:c r="C736" s="10"/>
      <x:c r="D736" s="10" t="n">
        <x:v>18</x:v>
      </x:c>
      <x:c r="E736" s="10"/>
      <x:c r="F736" s="10"/>
      <x:c r="G736" s="10"/>
      <x:c r="H736" s="10" t="n">
        <x:v>69</x:v>
      </x:c>
      <x:c r="I736" s="11" t="n">
        <x:f aca="0">ROUND((IF((B736*C736)/90000&lt;1,1))+IF((B736*C736)/90000&gt;=1,(B736*C736)/90000),1.1)</x:f>
        <x:v>1</x:v>
      </x:c>
      <x:c r="J736" s="11" t="n">
        <x:f aca="0">SUM(F736*I736)</x:f>
        <x:v>0</x:v>
      </x:c>
      <x:c r="K736" s="11" t="n">
        <x:f aca="0">SUM(H736*J736)</x:f>
        <x:v>0</x:v>
      </x:c>
      <x:c r="L736" s="11"/>
      <x:c r="M736" s="11" t="n">
        <x:f aca="0">SUM(C736)</x:f>
        <x:v>0</x:v>
      </x:c>
      <x:c r="N736" s="11" t="n">
        <x:f aca="0">SUM(B736-1)</x:f>
        <x:v>-1</x:v>
      </x:c>
      <x:c r="O736" s="11" t="n">
        <x:f aca="0">SUM(F736*1)</x:f>
        <x:v>0</x:v>
      </x:c>
      <x:c r="P736" s="11"/>
      <x:c r="Q736" s="11" t="str">
        <x:f aca="0">A736</x:f>
        <x:v>邊抽牆</x:v>
      </x:c>
      <x:c r="R736" s="1" t="n">
        <x:f aca="0">SUM(C736*2)*F736</x:f>
        <x:v>0</x:v>
      </x:c>
      <x:c r="T736"/>
    </x:row>
    <x:row r="737" ht="22.200000762939453" hidden="0">
      <x:c r="A737" s="10" t="s">
        <x:v>28</x:v>
      </x:c>
      <x:c r="B737" s="10"/>
      <x:c r="C737" s="10"/>
      <x:c r="D737" s="10" t="n">
        <x:v>8</x:v>
      </x:c>
      <x:c r="E737" s="10"/>
      <x:c r="F737" s="10"/>
      <x:c r="G737" s="10"/>
      <x:c r="H737" s="10" t="n">
        <x:v>50</x:v>
      </x:c>
      <x:c r="I737" s="11" t="n">
        <x:f aca="0">ROUND((IF((B737*C737)/90000&lt;1,1))+IF((B737*C737)/90000&gt;=1,(B737*C737)/90000),1.1)</x:f>
        <x:v>1</x:v>
      </x:c>
      <x:c r="J737" s="11" t="n">
        <x:f aca="0">SUM(F737*I737)</x:f>
        <x:v>0</x:v>
      </x:c>
      <x:c r="K737" s="11" t="n">
        <x:f aca="0">SUM(H737*J737)</x:f>
        <x:v>0</x:v>
      </x:c>
      <x:c r="L737" s="11"/>
      <x:c r="M737" s="11" t="n">
        <x:f aca="0">SUM(C737)</x:f>
        <x:v>0</x:v>
      </x:c>
      <x:c r="N737" s="11" t="n">
        <x:f aca="0">SUM(B737)</x:f>
        <x:v>0</x:v>
      </x:c>
      <x:c r="O737" s="11" t="n">
        <x:f aca="0">SUM(F737*1)</x:f>
        <x:v>0</x:v>
      </x:c>
      <x:c r="P737" s="11"/>
      <x:c r="Q737" s="11" t="str">
        <x:f aca="0">A737</x:f>
        <x:v>抽底板</x:v>
      </x:c>
      <x:c r="T737"/>
    </x:row>
    <x:row r="738" ht="22.200000762939453" hidden="0">
      <x:c r="A738" s="10" t="s">
        <x:v>28</x:v>
      </x:c>
      <x:c r="B738" s="10"/>
      <x:c r="C738" s="10"/>
      <x:c r="D738" s="10" t="n">
        <x:v>8</x:v>
      </x:c>
      <x:c r="E738" s="10"/>
      <x:c r="F738" s="10"/>
      <x:c r="G738" s="10"/>
      <x:c r="H738" s="10" t="n">
        <x:v>50</x:v>
      </x:c>
      <x:c r="I738" s="11" t="n">
        <x:f aca="0">ROUND((IF((B738*C738)/90000&lt;1,1))+IF((B738*C738)/90000&gt;=1,(B738*C738)/90000),1.1)</x:f>
        <x:v>1</x:v>
      </x:c>
      <x:c r="J738" s="11" t="n">
        <x:f aca="0">SUM(F738*I738)</x:f>
        <x:v>0</x:v>
      </x:c>
      <x:c r="K738" s="11" t="n">
        <x:f aca="0">SUM(H738*J738)</x:f>
        <x:v>0</x:v>
      </x:c>
      <x:c r="L738" s="11"/>
      <x:c r="M738" s="11" t="n">
        <x:f aca="0">SUM(C738)</x:f>
        <x:v>0</x:v>
      </x:c>
      <x:c r="N738" s="11" t="n">
        <x:f aca="0">SUM(B738)</x:f>
        <x:v>0</x:v>
      </x:c>
      <x:c r="O738" s="11" t="n">
        <x:f aca="0">SUM(F738*1)</x:f>
        <x:v>0</x:v>
      </x:c>
      <x:c r="P738" s="11"/>
      <x:c r="Q738" s="11" t="str">
        <x:f aca="0">A738</x:f>
        <x:v>抽底板</x:v>
      </x:c>
      <x:c r="T738"/>
    </x:row>
    <x:row r="739" ht="22.200000762939453" hidden="0">
      <x:c r="A739" s="12" t="s">
        <x:v>64</x:v>
      </x:c>
      <x:c r="B739" s="10"/>
      <x:c r="C739" s="10"/>
      <x:c r="D739" s="10" t="n">
        <x:v>18</x:v>
      </x:c>
      <x:c r="E739" s="10"/>
      <x:c r="F739" s="10"/>
      <x:c r="G739" s="10"/>
      <x:c r="H739" s="10" t="n">
        <x:v>84</x:v>
      </x:c>
      <x:c r="I739" s="11" t="n">
        <x:f aca="0">ROUND((IF((B739*C739)/90000&lt;1,1))+IF((B739*C739)/90000&gt;=1,(B739*C739)/90000),1.1)</x:f>
        <x:v>1</x:v>
      </x:c>
      <x:c r="J739" s="11" t="n">
        <x:f aca="0">SUM(F739*I739)</x:f>
        <x:v>0</x:v>
      </x:c>
      <x:c r="K739" s="11" t="n">
        <x:f aca="0">SUM(H739*J739)</x:f>
        <x:v>0</x:v>
      </x:c>
      <x:c r="L739" s="11"/>
      <x:c r="M739" s="11" t="n">
        <x:f aca="0">SUM(C739-2)</x:f>
        <x:v>-2</x:v>
      </x:c>
      <x:c r="N739" s="11" t="n">
        <x:f aca="0">SUM(B739-2)</x:f>
        <x:v>-2</x:v>
      </x:c>
      <x:c r="O739" s="11" t="n">
        <x:f aca="0">SUM(F739*1)</x:f>
        <x:v>0</x:v>
      </x:c>
      <x:c r="P739" s="11"/>
      <x:c r="Q739" s="11" t="str">
        <x:f aca="0">A739</x:f>
        <x:v>4E門板</x:v>
      </x:c>
      <x:c r="S739" s="1" t="n">
        <x:f aca="0">SUM(B739*2+C739*2)*F739</x:f>
        <x:v>0</x:v>
      </x:c>
      <x:c r="T739"/>
    </x:row>
    <x:row r="740" ht="22.200000762939453" hidden="0">
      <x:c r="A740" s="12" t="s">
        <x:v>64</x:v>
      </x:c>
      <x:c r="B740" s="10"/>
      <x:c r="C740" s="10"/>
      <x:c r="D740" s="10" t="n">
        <x:v>18</x:v>
      </x:c>
      <x:c r="E740" s="10"/>
      <x:c r="F740" s="10"/>
      <x:c r="G740" s="10"/>
      <x:c r="H740" s="10" t="n">
        <x:v>84</x:v>
      </x:c>
      <x:c r="I740" s="11" t="n">
        <x:f aca="0">ROUND((IF((B740*C740)/90000&lt;1,1))+IF((B740*C740)/90000&gt;=1,(B740*C740)/90000),1.1)</x:f>
        <x:v>1</x:v>
      </x:c>
      <x:c r="J740" s="11" t="n">
        <x:f aca="0">SUM(F740*I740)</x:f>
        <x:v>0</x:v>
      </x:c>
      <x:c r="K740" s="11" t="n">
        <x:f aca="0">SUM(H740*J740)</x:f>
        <x:v>0</x:v>
      </x:c>
      <x:c r="L740" s="11"/>
      <x:c r="M740" s="11" t="n">
        <x:f aca="0">SUM(C740-2)</x:f>
        <x:v>-2</x:v>
      </x:c>
      <x:c r="N740" s="11" t="n">
        <x:f aca="0">SUM(B740-2)</x:f>
        <x:v>-2</x:v>
      </x:c>
      <x:c r="O740" s="11" t="n">
        <x:f aca="0">SUM(F740*1)</x:f>
        <x:v>0</x:v>
      </x:c>
      <x:c r="P740" s="11"/>
      <x:c r="Q740" s="11" t="str">
        <x:f aca="0">A740</x:f>
        <x:v>4E門板</x:v>
      </x:c>
      <x:c r="S740" s="1" t="n">
        <x:f aca="0">SUM(B740*2+C740*2)*F740</x:f>
        <x:v>0</x:v>
      </x:c>
      <x:c r="T740"/>
    </x:row>
    <x:row r="741" ht="22.200000762939453" hidden="0">
      <x:c r="A741" s="12" t="s">
        <x:v>64</x:v>
      </x:c>
      <x:c r="B741" s="10"/>
      <x:c r="C741" s="10"/>
      <x:c r="D741" s="10" t="n">
        <x:v>18</x:v>
      </x:c>
      <x:c r="E741" s="10"/>
      <x:c r="F741" s="10"/>
      <x:c r="G741" s="10"/>
      <x:c r="H741" s="10" t="n">
        <x:v>84</x:v>
      </x:c>
      <x:c r="I741" s="11" t="n">
        <x:f aca="0">ROUND((IF((B741*C741)/90000&lt;1,1))+IF((B741*C741)/90000&gt;=1,(B741*C741)/90000),1.1)</x:f>
        <x:v>1</x:v>
      </x:c>
      <x:c r="J741" s="11" t="n">
        <x:f aca="0">SUM(F741*I741)</x:f>
        <x:v>0</x:v>
      </x:c>
      <x:c r="K741" s="11" t="n">
        <x:f aca="0">SUM(H741*J741)</x:f>
        <x:v>0</x:v>
      </x:c>
      <x:c r="L741" s="11"/>
      <x:c r="M741" s="11" t="n">
        <x:f aca="0">SUM(C741-2)</x:f>
        <x:v>-2</x:v>
      </x:c>
      <x:c r="N741" s="11" t="n">
        <x:f aca="0">SUM(B741-2)</x:f>
        <x:v>-2</x:v>
      </x:c>
      <x:c r="O741" s="11" t="n">
        <x:f aca="0">SUM(F741*1)</x:f>
        <x:v>0</x:v>
      </x:c>
      <x:c r="P741" s="11"/>
      <x:c r="Q741" s="11" t="str">
        <x:f aca="0">A741</x:f>
        <x:v>4E門板</x:v>
      </x:c>
      <x:c r="S741" s="1" t="n">
        <x:f aca="0">SUM(B741*2+C741*2)*F741</x:f>
        <x:v>0</x:v>
      </x:c>
      <x:c r="T741"/>
    </x:row>
    <x:row r="742" ht="22.200000762939453" hidden="0">
      <x:c r="A742" s="10" t="s">
        <x:v>30</x:v>
      </x:c>
      <x:c r="B742" s="10"/>
      <x:c r="C742" s="10"/>
      <x:c r="D742" s="10" t="n">
        <x:v>18</x:v>
      </x:c>
      <x:c r="E742" s="10"/>
      <x:c r="F742" s="10"/>
      <x:c r="G742" s="10"/>
      <x:c r="H742" s="10" t="n">
        <x:v>84</x:v>
      </x:c>
      <x:c r="I742" s="11" t="n">
        <x:f aca="0">ROUND((IF((B742*C742)/90000&lt;1,1))+IF((B742*C742)/90000&gt;=1,(B742*C742)/90000),1.1)</x:f>
        <x:v>1</x:v>
      </x:c>
      <x:c r="J742" s="11" t="n">
        <x:f aca="0">SUM(F742*I742)</x:f>
        <x:v>0</x:v>
      </x:c>
      <x:c r="K742" s="11" t="n">
        <x:f aca="0">SUM(H742*J742)</x:f>
        <x:v>0</x:v>
      </x:c>
      <x:c r="L742" s="11"/>
      <x:c r="M742" s="11" t="n">
        <x:f aca="0">SUM(C742-2)</x:f>
        <x:v>-2</x:v>
      </x:c>
      <x:c r="N742" s="11" t="n">
        <x:f aca="0">SUM(B742-2)</x:f>
        <x:v>-2</x:v>
      </x:c>
      <x:c r="O742" s="11" t="n">
        <x:f aca="0">SUM(F742*1)</x:f>
        <x:v>0</x:v>
      </x:c>
      <x:c r="P742" s="11"/>
      <x:c r="Q742" s="11" t="str">
        <x:f aca="0">A742</x:f>
        <x:v>假門板</x:v>
      </x:c>
      <x:c r="S742" s="1" t="n">
        <x:f aca="0">SUM(B742*2+C742*2)*F742</x:f>
        <x:v>0</x:v>
      </x:c>
      <x:c r="T742"/>
    </x:row>
    <x:row r="743" ht="22.200000762939453" hidden="0">
      <x:c r="A743" s="10" t="s">
        <x:v>31</x:v>
      </x:c>
      <x:c r="B743" s="10"/>
      <x:c r="C743" s="10"/>
      <x:c r="D743" s="10" t="n">
        <x:v>18</x:v>
      </x:c>
      <x:c r="E743" s="10"/>
      <x:c r="F743" s="10"/>
      <x:c r="G743" s="10"/>
      <x:c r="H743" s="10" t="n">
        <x:v>84</x:v>
      </x:c>
      <x:c r="I743" s="11" t="n">
        <x:f aca="0">ROUND((IF((B743*C743)/90000&lt;1,1))+IF((B743*C743)/90000&gt;=1,(B743*C743)/90000),1.1)</x:f>
        <x:v>1</x:v>
      </x:c>
      <x:c r="J743" s="11" t="n">
        <x:f aca="0">SUM(F743*I743)</x:f>
        <x:v>0</x:v>
      </x:c>
      <x:c r="K743" s="11" t="n">
        <x:f aca="0">SUM(H743*J743)</x:f>
        <x:v>0</x:v>
      </x:c>
      <x:c r="L743" s="11"/>
      <x:c r="M743" s="11" t="n">
        <x:f aca="0">SUM(C743-2)</x:f>
        <x:v>-2</x:v>
      </x:c>
      <x:c r="N743" s="11" t="n">
        <x:f aca="0">SUM(B743-2)</x:f>
        <x:v>-2</x:v>
      </x:c>
      <x:c r="O743" s="11" t="n">
        <x:f aca="0">SUM(F743*1)</x:f>
        <x:v>0</x:v>
      </x:c>
      <x:c r="P743" s="11"/>
      <x:c r="Q743" s="11" t="str">
        <x:f aca="0">A743</x:f>
        <x:v>屜頭</x:v>
      </x:c>
      <x:c r="S743" s="1" t="n">
        <x:f aca="0">SUM(B743*2+C743*2)*F743</x:f>
        <x:v>0</x:v>
      </x:c>
      <x:c r="T743"/>
    </x:row>
    <x:row r="744" ht="22.200000762939453" hidden="0">
      <x:c r="A744" s="10" t="s">
        <x:v>32</x:v>
      </x:c>
      <x:c r="B744" s="10"/>
      <x:c r="C744" s="10"/>
      <x:c r="D744" s="10" t="n">
        <x:v>18</x:v>
      </x:c>
      <x:c r="E744" s="10"/>
      <x:c r="F744" s="10"/>
      <x:c r="G744" s="10"/>
      <x:c r="H744" s="10" t="n">
        <x:v>74</x:v>
      </x:c>
      <x:c r="I744" s="11" t="n">
        <x:f aca="0">ROUND((IF((B744*C744)/90000&lt;1,1))+IF((B744*C744)/90000&gt;=1,(B744*C744)/90000),1.1)</x:f>
        <x:v>1</x:v>
      </x:c>
      <x:c r="J744" s="11" t="n">
        <x:f aca="0">SUM(F744*I744)</x:f>
        <x:v>0</x:v>
      </x:c>
      <x:c r="K744" s="11" t="n">
        <x:f aca="0">SUM(H744*J744)</x:f>
        <x:v>0</x:v>
      </x:c>
      <x:c r="L744" s="11"/>
      <x:c r="M744" s="11" t="n">
        <x:f aca="0">SUM(C744-1)</x:f>
        <x:v>-1</x:v>
      </x:c>
      <x:c r="N744" s="11" t="n">
        <x:f aca="0">SUM(B744)</x:f>
        <x:v>0</x:v>
      </x:c>
      <x:c r="O744" s="11" t="n">
        <x:f aca="0">SUM(F744*1)</x:f>
        <x:v>0</x:v>
      </x:c>
      <x:c r="P744" s="11"/>
      <x:c r="Q744" s="11" t="str">
        <x:f aca="0">A744</x:f>
        <x:v>推門</x:v>
      </x:c>
      <x:c r="R744" s="1" t="n">
        <x:f aca="0">SUM(B744*2+C744*2)*F744</x:f>
        <x:v>0</x:v>
      </x:c>
      <x:c r="T744"/>
    </x:row>
    <x:row r="745" ht="22.200000762939453" hidden="0">
      <x:c r="A745" s="10" t="s">
        <x:v>33</x:v>
      </x:c>
      <x:c r="B745" s="10"/>
      <x:c r="C745" s="10"/>
      <x:c r="D745" s="10" t="n">
        <x:v>18</x:v>
      </x:c>
      <x:c r="E745" s="10"/>
      <x:c r="F745" s="10"/>
      <x:c r="G745" s="10"/>
      <x:c r="H745" s="10" t="n">
        <x:v>74</x:v>
      </x:c>
      <x:c r="I745" s="11" t="n">
        <x:f aca="0">ROUND((IF((B745*C745)/90000&lt;1,1))+IF((B745*C745)/90000&gt;=1,(B745*C745)/90000),1.1)</x:f>
        <x:v>1</x:v>
      </x:c>
      <x:c r="J745" s="11" t="n">
        <x:f aca="0">SUM(F745*I745)</x:f>
        <x:v>0</x:v>
      </x:c>
      <x:c r="K745" s="11" t="n">
        <x:f aca="0">SUM(H745*J745)</x:f>
        <x:v>0</x:v>
      </x:c>
      <x:c r="L745" s="11"/>
      <x:c r="M745" s="11" t="n">
        <x:f aca="0">SUM(C745)</x:f>
        <x:v>0</x:v>
      </x:c>
      <x:c r="N745" s="11" t="n">
        <x:f aca="0">SUM(B745-1)</x:f>
        <x:v>-1</x:v>
      </x:c>
      <x:c r="O745" s="11" t="n">
        <x:f aca="0">SUM(F745*1)</x:f>
        <x:v>0</x:v>
      </x:c>
      <x:c r="P745" s="11"/>
      <x:c r="Q745" s="11" t="str">
        <x:f aca="0">A745</x:f>
        <x:v>側封板</x:v>
      </x:c>
      <x:c r="R745" s="1" t="n">
        <x:f aca="0">SUM(+C745*1)*F745</x:f>
        <x:v>0</x:v>
      </x:c>
      <x:c r="S745" s="1" t="n">
        <x:f aca="0">SUM(C745*1)*F745</x:f>
        <x:v>0</x:v>
      </x:c>
      <x:c r="T745"/>
    </x:row>
    <x:row r="746" ht="22.200000762939453" hidden="0">
      <x:c r="A746" s="10" t="s">
        <x:v>33</x:v>
      </x:c>
      <x:c r="B746" s="10"/>
      <x:c r="C746" s="10"/>
      <x:c r="D746" s="10" t="n">
        <x:v>18</x:v>
      </x:c>
      <x:c r="E746" s="10"/>
      <x:c r="F746" s="10"/>
      <x:c r="G746" s="10"/>
      <x:c r="H746" s="10" t="n">
        <x:v>74</x:v>
      </x:c>
      <x:c r="I746" s="11" t="n">
        <x:f aca="0">ROUND((IF((B746*C746)/90000&lt;1,1))+IF((B746*C746)/90000&gt;=1,(B746*C746)/90000),1.1)</x:f>
        <x:v>1</x:v>
      </x:c>
      <x:c r="J746" s="11" t="n">
        <x:f aca="0">SUM(F746*I746)</x:f>
        <x:v>0</x:v>
      </x:c>
      <x:c r="K746" s="11" t="n">
        <x:f aca="0">SUM(H746*J746)</x:f>
        <x:v>0</x:v>
      </x:c>
      <x:c r="L746" s="11"/>
      <x:c r="M746" s="11" t="n">
        <x:f aca="0">SUM(C746)</x:f>
        <x:v>0</x:v>
      </x:c>
      <x:c r="N746" s="11" t="n">
        <x:f aca="0">SUM(B746-1)</x:f>
        <x:v>-1</x:v>
      </x:c>
      <x:c r="O746" s="11" t="n">
        <x:f aca="0">SUM(F746*1)</x:f>
        <x:v>0</x:v>
      </x:c>
      <x:c r="P746" s="11"/>
      <x:c r="Q746" s="11" t="str">
        <x:f aca="0">A746</x:f>
        <x:v>側封板</x:v>
      </x:c>
      <x:c r="R746" s="1" t="n">
        <x:f aca="0">SUM(+C746*1)*F746</x:f>
        <x:v>0</x:v>
      </x:c>
      <x:c r="S746" s="1" t="n">
        <x:f aca="0">SUM(C746*1)*F746</x:f>
        <x:v>0</x:v>
      </x:c>
      <x:c r="T746"/>
    </x:row>
    <x:row r="747" ht="22.200000762939453" hidden="0">
      <x:c r="A747" s="10" t="s">
        <x:v>34</x:v>
      </x:c>
      <x:c r="B747" s="10"/>
      <x:c r="C747" s="10"/>
      <x:c r="D747" s="10" t="n">
        <x:v>18</x:v>
      </x:c>
      <x:c r="E747" s="10"/>
      <x:c r="F747" s="10"/>
      <x:c r="G747" s="10"/>
      <x:c r="H747" s="10" t="n">
        <x:v>74</x:v>
      </x:c>
      <x:c r="I747" s="11" t="n">
        <x:f aca="0">ROUND((IF((B747*C747)/90000&lt;1,1))+IF((B747*C747)/90000&gt;=1,(B747*C747)/90000),1.1)</x:f>
        <x:v>1</x:v>
      </x:c>
      <x:c r="J747" s="11" t="n">
        <x:f aca="0">SUM(F747*I747)</x:f>
        <x:v>0</x:v>
      </x:c>
      <x:c r="K747" s="11" t="n">
        <x:f aca="0">SUM(H747*J747)</x:f>
        <x:v>0</x:v>
      </x:c>
      <x:c r="L747" s="11"/>
      <x:c r="M747" s="11" t="n">
        <x:f aca="0">SUM(C747)</x:f>
        <x:v>0</x:v>
      </x:c>
      <x:c r="N747" s="11" t="n">
        <x:f aca="0">SUM(B747-1)</x:f>
        <x:v>-1</x:v>
      </x:c>
      <x:c r="O747" s="11" t="n">
        <x:f aca="0">SUM(F747*1)</x:f>
        <x:v>0</x:v>
      </x:c>
      <x:c r="P747" s="11"/>
      <x:c r="Q747" s="11" t="str">
        <x:f aca="0">A747</x:f>
        <x:v>軌道板</x:v>
      </x:c>
      <x:c r="R747" s="1" t="n">
        <x:f aca="0">SUM(+C747*1)*F747</x:f>
        <x:v>0</x:v>
      </x:c>
      <x:c r="S747" s="1" t="n">
        <x:f aca="0">SUM(C747*1)*F747</x:f>
        <x:v>0</x:v>
      </x:c>
      <x:c r="T747"/>
    </x:row>
    <x:row r="748" ht="22.200000762939453" hidden="0">
      <x:c r="A748" s="10" t="s">
        <x:v>34</x:v>
      </x:c>
      <x:c r="B748" s="10"/>
      <x:c r="C748" s="10"/>
      <x:c r="D748" s="10" t="n">
        <x:v>18</x:v>
      </x:c>
      <x:c r="E748" s="10"/>
      <x:c r="F748" s="10"/>
      <x:c r="G748" s="10"/>
      <x:c r="H748" s="10" t="n">
        <x:v>74</x:v>
      </x:c>
      <x:c r="I748" s="11" t="n">
        <x:f aca="0">ROUND((IF((B748*C748)/90000&lt;1,1))+IF((B748*C748)/90000&gt;=1,(B748*C748)/90000),1.1)</x:f>
        <x:v>1</x:v>
      </x:c>
      <x:c r="J748" s="11" t="n">
        <x:f aca="0">SUM(F748*I748)</x:f>
        <x:v>0</x:v>
      </x:c>
      <x:c r="K748" s="11" t="n">
        <x:f aca="0">SUM(H748*J748)</x:f>
        <x:v>0</x:v>
      </x:c>
      <x:c r="L748" s="11"/>
      <x:c r="M748" s="11" t="n">
        <x:f aca="0">SUM(C748)</x:f>
        <x:v>0</x:v>
      </x:c>
      <x:c r="N748" s="11" t="n">
        <x:f aca="0">SUM(B748-1)</x:f>
        <x:v>-1</x:v>
      </x:c>
      <x:c r="O748" s="11" t="n">
        <x:f aca="0">SUM(F748*1)</x:f>
        <x:v>0</x:v>
      </x:c>
      <x:c r="P748" s="11"/>
      <x:c r="Q748" s="11" t="str">
        <x:f aca="0">A748</x:f>
        <x:v>軌道板</x:v>
      </x:c>
      <x:c r="R748" s="1" t="n">
        <x:f aca="0">SUM(+C748*1)*F748</x:f>
        <x:v>0</x:v>
      </x:c>
      <x:c r="S748" s="1" t="n">
        <x:f aca="0">SUM(C748*1)*F748</x:f>
        <x:v>0</x:v>
      </x:c>
      <x:c r="T748"/>
    </x:row>
    <x:row r="749" ht="22.200000762939453" hidden="0">
      <x:c r="A749" s="10" t="s">
        <x:v>35</x:v>
      </x:c>
      <x:c r="B749" s="10"/>
      <x:c r="C749" s="10"/>
      <x:c r="D749" s="10" t="n">
        <x:v>18</x:v>
      </x:c>
      <x:c r="E749" s="10"/>
      <x:c r="F749" s="10"/>
      <x:c r="G749" s="10"/>
      <x:c r="H749" s="10" t="n">
        <x:v>69</x:v>
      </x:c>
      <x:c r="I749" s="11" t="n">
        <x:f aca="0">ROUND((IF((B749*C749)/90000&lt;1,1))+IF((B749*C749)/90000&gt;=1,(B749*C749)/90000),1.1)</x:f>
        <x:v>1</x:v>
      </x:c>
      <x:c r="J749" s="11" t="n">
        <x:f aca="0">SUM(F749*I749)</x:f>
        <x:v>0</x:v>
      </x:c>
      <x:c r="K749" s="11" t="n">
        <x:f aca="0">SUM(H749*J749)</x:f>
        <x:v>0</x:v>
      </x:c>
      <x:c r="L749" s="11"/>
      <x:c r="M749" s="11" t="n">
        <x:f aca="0">SUM(C749)</x:f>
        <x:v>0</x:v>
      </x:c>
      <x:c r="N749" s="11" t="n">
        <x:f aca="0">SUM(B749-1)</x:f>
        <x:v>-1</x:v>
      </x:c>
      <x:c r="O749" s="11" t="n">
        <x:f aca="0">SUM(F749*1)</x:f>
        <x:v>0</x:v>
      </x:c>
      <x:c r="P749" s="11"/>
      <x:c r="Q749" s="11" t="str">
        <x:f aca="0">A749</x:f>
        <x:v>擋板</x:v>
      </x:c>
      <x:c r="R749" s="1" t="n">
        <x:f aca="0">SUM(C749*2)*F749</x:f>
        <x:v>0</x:v>
      </x:c>
      <x:c r="T749"/>
    </x:row>
    <x:row r="750" ht="22.200000762939453" hidden="0">
      <x:c r="A750" s="10" t="s">
        <x:v>35</x:v>
      </x:c>
      <x:c r="B750" s="10"/>
      <x:c r="C750" s="10"/>
      <x:c r="D750" s="10" t="n">
        <x:v>18</x:v>
      </x:c>
      <x:c r="E750" s="10"/>
      <x:c r="F750" s="10"/>
      <x:c r="G750" s="10"/>
      <x:c r="H750" s="10" t="n">
        <x:v>69</x:v>
      </x:c>
      <x:c r="I750" s="11" t="n">
        <x:f aca="0">ROUND((IF((B750*C750)/90000&lt;1,1))+IF((B750*C750)/90000&gt;=1,(B750*C750)/90000),1.1)</x:f>
        <x:v>1</x:v>
      </x:c>
      <x:c r="J750" s="11" t="n">
        <x:f aca="0">SUM(F750*I750)</x:f>
        <x:v>0</x:v>
      </x:c>
      <x:c r="K750" s="11" t="n">
        <x:f aca="0">SUM(H750*J750)</x:f>
        <x:v>0</x:v>
      </x:c>
      <x:c r="L750" s="11"/>
      <x:c r="M750" s="11" t="n">
        <x:f aca="0">SUM(C750)</x:f>
        <x:v>0</x:v>
      </x:c>
      <x:c r="N750" s="11" t="n">
        <x:f aca="0">SUM(B750-1)</x:f>
        <x:v>-1</x:v>
      </x:c>
      <x:c r="O750" s="11" t="n">
        <x:f aca="0">SUM(F750*1)</x:f>
        <x:v>0</x:v>
      </x:c>
      <x:c r="P750" s="11"/>
      <x:c r="Q750" s="11" t="str">
        <x:f aca="0">A750</x:f>
        <x:v>擋板</x:v>
      </x:c>
      <x:c r="R750" s="1" t="n">
        <x:f aca="0">SUM(C750*2)*F750</x:f>
        <x:v>0</x:v>
      </x:c>
      <x:c r="T750"/>
    </x:row>
    <x:row r="751" ht="22.200000762939453" hidden="0">
      <x:c r="A751" s="10" t="s">
        <x:v>36</x:v>
      </x:c>
      <x:c r="B751" s="10"/>
      <x:c r="C751" s="10"/>
      <x:c r="D751" s="10" t="n">
        <x:v>8</x:v>
      </x:c>
      <x:c r="E751" s="10"/>
      <x:c r="F751" s="10"/>
      <x:c r="G751" s="10"/>
      <x:c r="H751" s="10" t="n">
        <x:v>69</x:v>
      </x:c>
      <x:c r="I751" s="11" t="n">
        <x:f aca="0">ROUND((IF((B751*C751)/90000&lt;1,1))+IF((B751*C751)/90000&gt;=1,(B751*C751)/90000),1.1)</x:f>
        <x:v>1</x:v>
      </x:c>
      <x:c r="J751" s="11" t="n">
        <x:f aca="0">SUM(F751*I751)</x:f>
        <x:v>0</x:v>
      </x:c>
      <x:c r="K751" s="11" t="n">
        <x:f aca="0">SUM(H751*J751)</x:f>
        <x:v>0</x:v>
      </x:c>
      <x:c r="L751" s="11"/>
      <x:c r="M751" s="11" t="n">
        <x:f aca="0">SUM(C751)</x:f>
        <x:v>0</x:v>
      </x:c>
      <x:c r="N751" s="11" t="n">
        <x:f aca="0">SUM(B751-1)</x:f>
        <x:v>-1</x:v>
      </x:c>
      <x:c r="O751" s="11" t="n">
        <x:f aca="0">SUM(F751*1)</x:f>
        <x:v>0</x:v>
      </x:c>
      <x:c r="P751" s="11"/>
      <x:c r="Q751" s="11" t="str">
        <x:f aca="0">A751</x:f>
        <x:v>襯板</x:v>
      </x:c>
      <x:c r="R751" s="1" t="n">
        <x:f aca="0">SUM(C751*2)*F751</x:f>
        <x:v>0</x:v>
      </x:c>
      <x:c r="T751"/>
    </x:row>
    <x:row r="752" ht="22.200000762939453" hidden="0">
      <x:c r="A752" s="10" t="s">
        <x:v>36</x:v>
      </x:c>
      <x:c r="B752" s="10"/>
      <x:c r="C752" s="10"/>
      <x:c r="D752" s="10" t="n">
        <x:v>8</x:v>
      </x:c>
      <x:c r="E752" s="10"/>
      <x:c r="F752" s="10"/>
      <x:c r="G752" s="10"/>
      <x:c r="H752" s="10" t="n">
        <x:v>69</x:v>
      </x:c>
      <x:c r="I752" s="11" t="n">
        <x:f aca="0">ROUND((IF((B752*C752)/90000&lt;1,1))+IF((B752*C752)/90000&gt;=1,(B752*C752)/90000),1.1)</x:f>
        <x:v>1</x:v>
      </x:c>
      <x:c r="J752" s="11" t="n">
        <x:f aca="0">SUM(F752*I752)</x:f>
        <x:v>0</x:v>
      </x:c>
      <x:c r="K752" s="11" t="n">
        <x:f aca="0">SUM(H752*J752)</x:f>
        <x:v>0</x:v>
      </x:c>
      <x:c r="L752" s="11"/>
      <x:c r="M752" s="11" t="n">
        <x:f aca="0">SUM(C752)</x:f>
        <x:v>0</x:v>
      </x:c>
      <x:c r="N752" s="11" t="n">
        <x:f aca="0">SUM(B752-1)</x:f>
        <x:v>-1</x:v>
      </x:c>
      <x:c r="O752" s="11" t="n">
        <x:f aca="0">SUM(F752*1)</x:f>
        <x:v>0</x:v>
      </x:c>
      <x:c r="P752" s="11"/>
      <x:c r="Q752" s="11" t="str">
        <x:f aca="0">A752</x:f>
        <x:v>襯板</x:v>
      </x:c>
      <x:c r="R752" s="1" t="n">
        <x:f aca="0">SUM(C752*2)*F752</x:f>
        <x:v>0</x:v>
      </x:c>
      <x:c r="T752"/>
    </x:row>
    <x:row r="753" ht="22.200000762939453" hidden="0">
      <x:c r="A753" s="10" t="s">
        <x:v>37</x:v>
      </x:c>
      <x:c r="B753" s="10"/>
      <x:c r="C753" s="10"/>
      <x:c r="D753" s="10" t="n">
        <x:v>8</x:v>
      </x:c>
      <x:c r="E753" s="10"/>
      <x:c r="F753" s="10"/>
      <x:c r="G753" s="10"/>
      <x:c r="H753" s="10" t="n">
        <x:v>50</x:v>
      </x:c>
      <x:c r="I753" s="11" t="n">
        <x:f aca="0">ROUND((IF((B753*C753)/90000&lt;1,1))+IF((B753*C753)/90000&gt;=1,(B753*C753)/90000),1.1)</x:f>
        <x:v>1</x:v>
      </x:c>
      <x:c r="J753" s="11" t="n">
        <x:f aca="0">SUM(F753*I753)</x:f>
        <x:v>0</x:v>
      </x:c>
      <x:c r="K753" s="11" t="n">
        <x:f aca="0">SUM(H753*J753)</x:f>
        <x:v>0</x:v>
      </x:c>
      <x:c r="L753" s="11"/>
      <x:c r="M753" s="11" t="n">
        <x:f aca="0">SUM(C753)</x:f>
        <x:v>0</x:v>
      </x:c>
      <x:c r="N753" s="11" t="n">
        <x:f aca="0">SUM(B753)</x:f>
        <x:v>0</x:v>
      </x:c>
      <x:c r="O753" s="11" t="n">
        <x:f aca="0">SUM(F753*1)</x:f>
        <x:v>0</x:v>
      </x:c>
      <x:c r="P753" s="11"/>
      <x:c r="Q753" s="11" t="str">
        <x:f aca="0">A753</x:f>
        <x:v>背板</x:v>
      </x:c>
      <x:c r="T753"/>
    </x:row>
    <x:row r="754" ht="22.200000762939453" hidden="0">
      <x:c r="A754" s="10" t="s">
        <x:v>37</x:v>
      </x:c>
      <x:c r="B754" s="10"/>
      <x:c r="C754" s="10"/>
      <x:c r="D754" s="10" t="n">
        <x:v>8</x:v>
      </x:c>
      <x:c r="E754" s="10"/>
      <x:c r="F754" s="10"/>
      <x:c r="G754" s="10"/>
      <x:c r="H754" s="10" t="n">
        <x:v>50</x:v>
      </x:c>
      <x:c r="I754" s="11" t="n">
        <x:f aca="0">ROUND((IF((B754*C754)/90000&lt;1,1))+IF((B754*C754)/90000&gt;=1,(B754*C754)/90000),1.1)</x:f>
        <x:v>1</x:v>
      </x:c>
      <x:c r="J754" s="11" t="n">
        <x:f aca="0">SUM(F754*I754)</x:f>
        <x:v>0</x:v>
      </x:c>
      <x:c r="K754" s="11" t="n">
        <x:f aca="0">SUM(H754*J754)</x:f>
        <x:v>0</x:v>
      </x:c>
      <x:c r="L754" s="11"/>
      <x:c r="M754" s="11" t="n">
        <x:f aca="0">SUM(C754)</x:f>
        <x:v>0</x:v>
      </x:c>
      <x:c r="N754" s="11" t="n">
        <x:f aca="0">SUM(B754)</x:f>
        <x:v>0</x:v>
      </x:c>
      <x:c r="O754" s="11" t="n">
        <x:f aca="0">SUM(F754*1)</x:f>
        <x:v>0</x:v>
      </x:c>
      <x:c r="P754" s="11"/>
      <x:c r="Q754" s="11" t="str">
        <x:f aca="0">A754</x:f>
        <x:v>背板</x:v>
      </x:c>
      <x:c r="T754"/>
    </x:row>
    <x:row r="755" ht="22.200000762939453" hidden="0">
      <x:c r="A755" s="10" t="s">
        <x:v>37</x:v>
      </x:c>
      <x:c r="B755" s="10"/>
      <x:c r="C755" s="10"/>
      <x:c r="D755" s="10" t="n">
        <x:v>8</x:v>
      </x:c>
      <x:c r="E755" s="10"/>
      <x:c r="F755" s="10"/>
      <x:c r="G755" s="10"/>
      <x:c r="H755" s="10" t="n">
        <x:v>50</x:v>
      </x:c>
      <x:c r="I755" s="11" t="n">
        <x:f aca="0">ROUND((IF((B755*C755)/90000&lt;1,1))+IF((B755*C755)/90000&gt;=1,(B755*C755)/90000),1.1)</x:f>
        <x:v>1</x:v>
      </x:c>
      <x:c r="J755" s="11" t="n">
        <x:f aca="0">SUM(F755*I755)</x:f>
        <x:v>0</x:v>
      </x:c>
      <x:c r="K755" s="11" t="n">
        <x:f aca="0">SUM(H755*J755)</x:f>
        <x:v>0</x:v>
      </x:c>
      <x:c r="L755" s="11"/>
      <x:c r="M755" s="11" t="n">
        <x:f aca="0">SUM(C755)</x:f>
        <x:v>0</x:v>
      </x:c>
      <x:c r="N755" s="11" t="n">
        <x:f aca="0">SUM(B755)</x:f>
        <x:v>0</x:v>
      </x:c>
      <x:c r="O755" s="11" t="n">
        <x:f aca="0">SUM(F755*1)</x:f>
        <x:v>0</x:v>
      </x:c>
      <x:c r="P755" s="11"/>
      <x:c r="Q755" s="11" t="str">
        <x:f aca="0">A755</x:f>
        <x:v>背板</x:v>
      </x:c>
      <x:c r="T755"/>
    </x:row>
    <x:row r="756" ht="22.200000762939453" hidden="0">
      <x:c r="A756" s="10" t="s">
        <x:v>37</x:v>
      </x:c>
      <x:c r="B756" s="10"/>
      <x:c r="C756" s="10"/>
      <x:c r="D756" s="10" t="n">
        <x:v>8</x:v>
      </x:c>
      <x:c r="E756" s="10"/>
      <x:c r="F756" s="10"/>
      <x:c r="G756" s="10"/>
      <x:c r="H756" s="10" t="n">
        <x:v>50</x:v>
      </x:c>
      <x:c r="I756" s="11" t="n">
        <x:f aca="0">ROUND((IF((B756*C756)/90000&lt;1,1))+IF((B756*C756)/90000&gt;=1,(B756*C756)/90000),1.1)</x:f>
        <x:v>1</x:v>
      </x:c>
      <x:c r="J756" s="11" t="n">
        <x:f aca="0">SUM(F756*I756)</x:f>
        <x:v>0</x:v>
      </x:c>
      <x:c r="K756" s="11" t="n">
        <x:f aca="0">SUM(H756*J756)</x:f>
        <x:v>0</x:v>
      </x:c>
      <x:c r="L756" s="11"/>
      <x:c r="M756" s="11" t="n">
        <x:f aca="0">SUM(C756)</x:f>
        <x:v>0</x:v>
      </x:c>
      <x:c r="N756" s="11" t="n">
        <x:f aca="0">SUM(B756)</x:f>
        <x:v>0</x:v>
      </x:c>
      <x:c r="O756" s="11" t="n">
        <x:f aca="0">SUM(F756*1)</x:f>
        <x:v>0</x:v>
      </x:c>
      <x:c r="P756" s="11"/>
      <x:c r="Q756" s="11" t="str">
        <x:f aca="0">A756</x:f>
        <x:v>背板</x:v>
      </x:c>
      <x:c r="T756"/>
    </x:row>
    <x:row r="757" ht="22.200000762939453" hidden="0">
      <x:c r="A757" s="10" t="s">
        <x:v>37</x:v>
      </x:c>
      <x:c r="B757" s="10"/>
      <x:c r="C757" s="10"/>
      <x:c r="D757" s="10" t="n">
        <x:v>8</x:v>
      </x:c>
      <x:c r="E757" s="10"/>
      <x:c r="F757" s="10"/>
      <x:c r="G757" s="10"/>
      <x:c r="H757" s="10" t="n">
        <x:v>50</x:v>
      </x:c>
      <x:c r="I757" s="11" t="n">
        <x:f aca="0">ROUND((IF((B757*C757)/90000&lt;1,1))+IF((B757*C757)/90000&gt;=1,(B757*C757)/90000),1.1)</x:f>
        <x:v>1</x:v>
      </x:c>
      <x:c r="J757" s="11" t="n">
        <x:f aca="0">SUM(F757*I757)</x:f>
        <x:v>0</x:v>
      </x:c>
      <x:c r="K757" s="11" t="n">
        <x:f aca="0">SUM(H757*J757)</x:f>
        <x:v>0</x:v>
      </x:c>
      <x:c r="L757" s="11"/>
      <x:c r="M757" s="11" t="n">
        <x:f aca="0">SUM(C757)</x:f>
        <x:v>0</x:v>
      </x:c>
      <x:c r="N757" s="11" t="n">
        <x:f aca="0">SUM(B757)</x:f>
        <x:v>0</x:v>
      </x:c>
      <x:c r="O757" s="11" t="n">
        <x:f aca="0">SUM(F757*1)</x:f>
        <x:v>0</x:v>
      </x:c>
      <x:c r="P757" s="11"/>
      <x:c r="Q757" s="11" t="str">
        <x:f aca="0">A757</x:f>
        <x:v>背板</x:v>
      </x:c>
      <x:c r="T757"/>
    </x:row>
    <x:row r="758" ht="22.200000762939453" hidden="0">
      <x:c r="A758" s="10" t="s">
        <x:v>38</x:v>
      </x:c>
      <x:c r="B758" s="10"/>
      <x:c r="C758" s="10"/>
      <x:c r="D758" s="10" t="n">
        <x:v>18</x:v>
      </x:c>
      <x:c r="E758" s="10"/>
      <x:c r="F758" s="10"/>
      <x:c r="G758" s="10"/>
      <x:c r="H758" s="10" t="n">
        <x:v>50</x:v>
      </x:c>
      <x:c r="I758" s="11" t="n">
        <x:f aca="0">ROUND((IF((B758*C758)/90000&lt;1,1))+IF((B758*C758)/90000&gt;=1,(B758*C758)/90000),1.1)</x:f>
        <x:v>1</x:v>
      </x:c>
      <x:c r="J758" s="11" t="n">
        <x:f aca="0">SUM(F758*I758)</x:f>
        <x:v>0</x:v>
      </x:c>
      <x:c r="K758" s="11" t="n">
        <x:f aca="0">SUM(H758*J758)</x:f>
        <x:v>0</x:v>
      </x:c>
      <x:c r="L758" s="11"/>
      <x:c r="M758" s="11" t="n">
        <x:f aca="0">SUM(C758)</x:f>
        <x:v>0</x:v>
      </x:c>
      <x:c r="N758" s="11" t="n">
        <x:f aca="0">SUM(B758)</x:f>
        <x:v>0</x:v>
      </x:c>
      <x:c r="O758" s="11" t="n">
        <x:f aca="0">SUM(F758*1)</x:f>
        <x:v>0</x:v>
      </x:c>
      <x:c r="P758" s="11"/>
      <x:c r="Q758" s="11" t="str">
        <x:f aca="0">A758</x:f>
        <x:v>踢腳板</x:v>
      </x:c>
      <x:c r="R758" s="1" t="n">
        <x:f aca="0">SUM(C758*1)*F758</x:f>
        <x:v>0</x:v>
      </x:c>
      <x:c r="T758"/>
    </x:row>
    <x:row r="759" ht="22.200000762939453" hidden="0">
      <x:c r="A759" s="10" t="s">
        <x:v>39</x:v>
      </x:c>
      <x:c r="B759" s="10"/>
      <x:c r="C759" s="10"/>
      <x:c r="D759" s="10" t="n">
        <x:v>25</x:v>
      </x:c>
      <x:c r="E759" s="10"/>
      <x:c r="F759" s="10"/>
      <x:c r="G759" s="10"/>
      <x:c r="H759" s="10" t="n">
        <x:v>126</x:v>
      </x:c>
      <x:c r="I759" s="11" t="n">
        <x:f aca="0">ROUND((IF((B759*C759)/90000&lt;1,1))+IF((B759*C759)/90000&gt;=1,(B759*C759)/90000),1.1)</x:f>
        <x:v>1</x:v>
      </x:c>
      <x:c r="J759" s="11" t="n">
        <x:f aca="0">SUM(F759*I759)</x:f>
        <x:v>0</x:v>
      </x:c>
      <x:c r="K759" s="11" t="n">
        <x:f aca="0">SUM(H759*J759)</x:f>
        <x:v>0</x:v>
      </x:c>
      <x:c r="L759" s="11"/>
      <x:c r="M759" s="11" t="n">
        <x:f aca="0">SUM(C759)</x:f>
        <x:v>0</x:v>
      </x:c>
      <x:c r="N759" s="11" t="n">
        <x:f aca="0">SUM(B759-1)</x:f>
        <x:v>-1</x:v>
      </x:c>
      <x:c r="O759" s="11" t="n">
        <x:f aca="0">SUM(F759*1)</x:f>
        <x:v>0</x:v>
      </x:c>
      <x:c r="P759" s="11"/>
      <x:c r="Q759" s="11" t="str">
        <x:f aca="0">A759</x:f>
        <x:v>檯面</x:v>
      </x:c>
      <x:c r="S759" s="1" t="n">
        <x:f aca="0">SUM(B759*2+C759*1)*F759</x:f>
        <x:v>0</x:v>
      </x:c>
      <x:c r="T759"/>
    </x:row>
    <x:row r="760" ht="22.200000762939453" hidden="0">
      <x:c r="A760" s="10" t="s">
        <x:v>40</x:v>
      </x:c>
      <x:c r="B760" s="10"/>
      <x:c r="C760" s="10"/>
      <x:c r="D760" s="10" t="n">
        <x:v>18</x:v>
      </x:c>
      <x:c r="E760" s="10"/>
      <x:c r="F760" s="10"/>
      <x:c r="G760" s="10"/>
      <x:c r="H760" s="10" t="n">
        <x:v>65</x:v>
      </x:c>
      <x:c r="I760" s="11" t="n">
        <x:f aca="0">ROUND((IF((B760*C760)/90000&lt;1,1))+IF((B760*C760)/90000&gt;=1,(B760*C760)/90000),1.1)</x:f>
        <x:v>1</x:v>
      </x:c>
      <x:c r="J760" s="11" t="n">
        <x:f aca="0">SUM(F760*I760)</x:f>
        <x:v>0</x:v>
      </x:c>
      <x:c r="K760" s="11" t="n">
        <x:f aca="0">SUM(H760*J760)</x:f>
        <x:v>0</x:v>
      </x:c>
      <x:c r="L760" s="11"/>
      <x:c r="M760" s="11" t="n">
        <x:f aca="0">SUM(C760)</x:f>
        <x:v>0</x:v>
      </x:c>
      <x:c r="N760" s="11" t="n">
        <x:f aca="0">SUM(B760)</x:f>
        <x:v>0</x:v>
      </x:c>
      <x:c r="O760" s="11" t="n">
        <x:f aca="0">SUM(F760*1)</x:f>
        <x:v>0</x:v>
      </x:c>
      <x:c r="P760" s="11"/>
      <x:c r="Q760" s="11" t="str">
        <x:f aca="0">A760</x:f>
        <x:v>背條</x:v>
      </x:c>
      <x:c r="T760"/>
    </x:row>
    <x:row r="761" ht="22.200000762939453" hidden="0">
      <x:c r="A761" s="10" t="s">
        <x:v>40</x:v>
      </x:c>
      <x:c r="B761" s="10"/>
      <x:c r="C761" s="10"/>
      <x:c r="D761" s="10" t="n">
        <x:v>18</x:v>
      </x:c>
      <x:c r="E761" s="10"/>
      <x:c r="F761" s="10"/>
      <x:c r="G761" s="10"/>
      <x:c r="H761" s="10" t="n">
        <x:v>65</x:v>
      </x:c>
      <x:c r="I761" s="11" t="n">
        <x:f aca="0">ROUND((IF((B761*C761)/90000&lt;1,1))+IF((B761*C761)/90000&gt;=1,(B761*C761)/90000),1.1)</x:f>
        <x:v>1</x:v>
      </x:c>
      <x:c r="J761" s="11" t="n">
        <x:f aca="0">SUM(F761*I761)</x:f>
        <x:v>0</x:v>
      </x:c>
      <x:c r="K761" s="11" t="n">
        <x:f aca="0">SUM(H761*J761)</x:f>
        <x:v>0</x:v>
      </x:c>
      <x:c r="L761" s="11"/>
      <x:c r="M761" s="11" t="n">
        <x:f aca="0">SUM(C761)</x:f>
        <x:v>0</x:v>
      </x:c>
      <x:c r="N761" s="11" t="n">
        <x:f aca="0">SUM(B761)</x:f>
        <x:v>0</x:v>
      </x:c>
      <x:c r="O761" s="11" t="n">
        <x:f aca="0">SUM(F761*1)</x:f>
        <x:v>0</x:v>
      </x:c>
      <x:c r="P761" s="11"/>
      <x:c r="Q761" s="11" t="str">
        <x:f aca="0">A761</x:f>
        <x:v>背條</x:v>
      </x:c>
      <x:c r="T761"/>
    </x:row>
    <x:row r="762" ht="22.200000762939453" hidden="0">
      <x:c r="A762" s="10" t="s">
        <x:v>40</x:v>
      </x:c>
      <x:c r="B762" s="10"/>
      <x:c r="C762" s="10"/>
      <x:c r="D762" s="10" t="n">
        <x:v>18</x:v>
      </x:c>
      <x:c r="E762" s="10"/>
      <x:c r="F762" s="10"/>
      <x:c r="G762" s="10"/>
      <x:c r="H762" s="10" t="n">
        <x:v>65</x:v>
      </x:c>
      <x:c r="I762" s="11" t="n">
        <x:f aca="0">ROUND((IF((B762*C762)/90000&lt;1,1))+IF((B762*C762)/90000&gt;=1,(B762*C762)/90000),1.1)</x:f>
        <x:v>1</x:v>
      </x:c>
      <x:c r="J762" s="11" t="n">
        <x:f aca="0">SUM(F762*I762)</x:f>
        <x:v>0</x:v>
      </x:c>
      <x:c r="K762" s="11" t="n">
        <x:f aca="0">SUM(H762*J762)</x:f>
        <x:v>0</x:v>
      </x:c>
      <x:c r="L762" s="11"/>
      <x:c r="M762" s="11" t="n">
        <x:f aca="0">SUM(C762)</x:f>
        <x:v>0</x:v>
      </x:c>
      <x:c r="N762" s="11" t="n">
        <x:f aca="0">SUM(B762)</x:f>
        <x:v>0</x:v>
      </x:c>
      <x:c r="O762" s="11" t="n">
        <x:f aca="0">SUM(F762*1)</x:f>
        <x:v>0</x:v>
      </x:c>
      <x:c r="P762" s="11"/>
      <x:c r="Q762" s="11" t="str">
        <x:f aca="0">A762</x:f>
        <x:v>背條</x:v>
      </x:c>
      <x:c r="T762"/>
    </x:row>
    <x:row r="763" ht="22.200000762939453" hidden="0">
      <x:c r="A763" s="10" t="s">
        <x:v>40</x:v>
      </x:c>
      <x:c r="B763" s="10"/>
      <x:c r="C763" s="10"/>
      <x:c r="D763" s="10" t="n">
        <x:v>18</x:v>
      </x:c>
      <x:c r="E763" s="10"/>
      <x:c r="F763" s="10"/>
      <x:c r="G763" s="10"/>
      <x:c r="H763" s="10" t="n">
        <x:v>65</x:v>
      </x:c>
      <x:c r="I763" s="11" t="n">
        <x:f aca="0">ROUND((IF((B763*C763)/90000&lt;1,1))+IF((B763*C763)/90000&gt;=1,(B763*C763)/90000),1.1)</x:f>
        <x:v>1</x:v>
      </x:c>
      <x:c r="J763" s="11" t="n">
        <x:f aca="0">SUM(F763*I763)</x:f>
        <x:v>0</x:v>
      </x:c>
      <x:c r="K763" s="11" t="n">
        <x:f aca="0">SUM(H763*J763)</x:f>
        <x:v>0</x:v>
      </x:c>
      <x:c r="L763" s="11"/>
      <x:c r="M763" s="11" t="n">
        <x:f aca="0">SUM(C763)</x:f>
        <x:v>0</x:v>
      </x:c>
      <x:c r="N763" s="11" t="n">
        <x:f aca="0">SUM(B763)</x:f>
        <x:v>0</x:v>
      </x:c>
      <x:c r="O763" s="11" t="n">
        <x:f aca="0">SUM(F763*1)</x:f>
        <x:v>0</x:v>
      </x:c>
      <x:c r="P763" s="11"/>
      <x:c r="Q763" s="11" t="str">
        <x:f aca="0">A763</x:f>
        <x:v>背條</x:v>
      </x:c>
      <x:c r="T763"/>
    </x:row>
    <x:row r="764" ht="22.200000762939453" hidden="0">
      <x:c r="A764" s="12" t="s">
        <x:v>41</x:v>
      </x:c>
      <x:c r="B764" s="10"/>
      <x:c r="C764" s="10"/>
      <x:c r="D764" s="10"/>
      <x:c r="E764" s="10"/>
      <x:c r="F764" s="10"/>
      <x:c r="G764" s="10"/>
      <x:c r="H764" s="10" t="n">
        <x:v>11</x:v>
      </x:c>
      <x:c r="I764" s="11"/>
      <x:c r="J764" s="11"/>
      <x:c r="K764" s="11" t="n">
        <x:f aca="0">SUM(F764*H764)</x:f>
        <x:v>0</x:v>
      </x:c>
      <x:c r="L764" s="11"/>
      <x:c r="M764" s="11"/>
      <x:c r="N764" s="11"/>
      <x:c r="O764" s="11"/>
      <x:c r="P764" s="11"/>
      <x:c r="Q764" s="11"/>
      <x:c r="T764"/>
    </x:row>
    <x:row r="765" ht="22.200000762939453" hidden="0">
      <x:c r="A765" s="12" t="s">
        <x:v>42</x:v>
      </x:c>
      <x:c r="B765" s="10"/>
      <x:c r="C765" s="10"/>
      <x:c r="D765" s="10"/>
      <x:c r="E765" s="10"/>
      <x:c r="F765" s="10"/>
      <x:c r="G765" s="10"/>
      <x:c r="H765" s="10" t="n">
        <x:v>9</x:v>
      </x:c>
      <x:c r="I765" s="11"/>
      <x:c r="J765" s="11"/>
      <x:c r="K765" s="11" t="n">
        <x:f aca="0">SUM(F765*H765)</x:f>
        <x:v>0</x:v>
      </x:c>
      <x:c r="L765" s="11"/>
      <x:c r="M765" s="11"/>
      <x:c r="N765" s="11"/>
      <x:c r="O765" s="11"/>
      <x:c r="P765" s="11"/>
      <x:c r="Q765" s="11"/>
      <x:c r="R765" s="9"/>
      <x:c r="S765" s="13"/>
      <x:c r="T765"/>
    </x:row>
    <x:row r="766" ht="22.200000762939453" hidden="0">
      <x:c r="A766" s="10" t="s">
        <x:v>43</x:v>
      </x:c>
      <x:c r="B766" s="10"/>
      <x:c r="C766" s="10"/>
      <x:c r="D766" s="10"/>
      <x:c r="E766" s="10"/>
      <x:c r="F766" s="10"/>
      <x:c r="G766" s="10"/>
      <x:c r="H766" s="10" t="n">
        <x:v>1</x:v>
      </x:c>
      <x:c r="I766" s="11"/>
      <x:c r="J766" s="11"/>
      <x:c r="K766" s="11" t="n">
        <x:f aca="0">SUM(F766*H766)</x:f>
        <x:v>0</x:v>
      </x:c>
      <x:c r="L766" s="11"/>
      <x:c r="M766" s="11"/>
      <x:c r="N766" s="11"/>
      <x:c r="O766" s="11"/>
      <x:c r="P766" s="11"/>
      <x:c r="Q766" s="11"/>
      <x:c r="T766"/>
    </x:row>
    <x:row r="767" ht="22.200000762939453" hidden="0">
      <x:c r="A767" s="10" t="s">
        <x:v>44</x:v>
      </x:c>
      <x:c r="B767" s="10"/>
      <x:c r="C767" s="10"/>
      <x:c r="D767" s="10"/>
      <x:c r="E767" s="10"/>
      <x:c r="F767" s="10"/>
      <x:c r="G767" s="10"/>
      <x:c r="H767" s="10" t="n">
        <x:v>11</x:v>
      </x:c>
      <x:c r="I767" s="11"/>
      <x:c r="J767" s="11"/>
      <x:c r="K767" s="11" t="n">
        <x:f aca="0">SUM(F767*H767)</x:f>
        <x:v>0</x:v>
      </x:c>
      <x:c r="L767" s="11"/>
      <x:c r="M767" s="11"/>
      <x:c r="N767" s="11"/>
      <x:c r="O767" s="11"/>
      <x:c r="P767" s="11"/>
      <x:c r="Q767" s="11"/>
      <x:c r="T767"/>
    </x:row>
    <x:row r="768" ht="22.200000762939453" hidden="0">
      <x:c r="A768" s="10" t="s">
        <x:v>45</x:v>
      </x:c>
      <x:c r="B768" s="10"/>
      <x:c r="C768" s="10"/>
      <x:c r="D768" s="10"/>
      <x:c r="E768" s="10"/>
      <x:c r="F768" s="10"/>
      <x:c r="G768" s="10"/>
      <x:c r="H768" s="10" t="n">
        <x:v>7</x:v>
      </x:c>
      <x:c r="I768" s="11"/>
      <x:c r="J768" s="11"/>
      <x:c r="K768" s="11" t="n">
        <x:f aca="0">SUM(F768*H768)</x:f>
        <x:v>0</x:v>
      </x:c>
      <x:c r="L768" s="11"/>
      <x:c r="M768" s="11"/>
      <x:c r="N768" s="11"/>
      <x:c r="O768" s="11"/>
      <x:c r="P768" s="11"/>
      <x:c r="Q768" s="11"/>
      <x:c r="T768"/>
    </x:row>
    <x:row r="769" ht="22.200000762939453" hidden="0">
      <x:c r="A769" s="12" t="s">
        <x:v>65</x:v>
      </x:c>
      <x:c r="B769" s="10"/>
      <x:c r="C769" s="10"/>
      <x:c r="D769" s="10"/>
      <x:c r="E769" s="10"/>
      <x:c r="F769" s="10"/>
      <x:c r="G769" s="10"/>
      <x:c r="H769" s="10" t="n">
        <x:v>50</x:v>
      </x:c>
      <x:c r="I769" s="11"/>
      <x:c r="J769" s="11"/>
      <x:c r="K769" s="11" t="n">
        <x:f aca="0">SUM(F769*H769)</x:f>
        <x:v>0</x:v>
      </x:c>
      <x:c r="L769" s="11"/>
      <x:c r="M769" s="11"/>
      <x:c r="N769" s="11"/>
      <x:c r="O769" s="11"/>
      <x:c r="P769" s="11"/>
      <x:c r="Q769" s="11"/>
      <x:c r="T769"/>
    </x:row>
    <x:row r="770" ht="22.200000762939453" hidden="0">
      <x:c r="A770" s="10" t="s">
        <x:v>47</x:v>
      </x:c>
      <x:c r="B770" s="10"/>
      <x:c r="C770" s="10"/>
      <x:c r="D770" s="10"/>
      <x:c r="E770" s="10"/>
      <x:c r="F770" s="10"/>
      <x:c r="G770" s="10"/>
      <x:c r="H770" s="10" t="n">
        <x:v>90</x:v>
      </x:c>
      <x:c r="I770" s="11"/>
      <x:c r="J770" s="11"/>
      <x:c r="K770" s="11" t="n">
        <x:f aca="0">SUM(F770*H770)</x:f>
        <x:v>0</x:v>
      </x:c>
      <x:c r="L770" s="11"/>
      <x:c r="M770" s="11"/>
      <x:c r="N770" s="11"/>
      <x:c r="O770" s="11"/>
      <x:c r="P770" s="11"/>
      <x:c r="Q770" s="11"/>
      <x:c r="T770"/>
    </x:row>
    <x:row r="771" ht="22.200000762939453" hidden="0">
      <x:c r="A771" s="10" t="s">
        <x:v>48</x:v>
      </x:c>
      <x:c r="B771" s="10"/>
      <x:c r="C771" s="10"/>
      <x:c r="D771" s="10"/>
      <x:c r="E771" s="10"/>
      <x:c r="F771" s="10"/>
      <x:c r="G771" s="10"/>
      <x:c r="H771" s="10" t="n">
        <x:v>275</x:v>
      </x:c>
      <x:c r="I771" s="11"/>
      <x:c r="J771" s="11"/>
      <x:c r="K771" s="11" t="n">
        <x:f aca="0">SUM(F771*H771)</x:f>
        <x:v>0</x:v>
      </x:c>
      <x:c r="L771" s="11"/>
      <x:c r="M771" s="11"/>
      <x:c r="N771" s="11"/>
      <x:c r="O771" s="11"/>
      <x:c r="P771" s="11"/>
      <x:c r="Q771" s="11"/>
      <x:c r="T771"/>
    </x:row>
    <x:row r="772" ht="22.200000762939453" hidden="0">
      <x:c r="A772" s="12" t="s">
        <x:v>49</x:v>
      </x:c>
      <x:c r="B772" s="10"/>
      <x:c r="C772" s="10"/>
      <x:c r="D772" s="10"/>
      <x:c r="E772" s="10"/>
      <x:c r="F772" s="10"/>
      <x:c r="G772" s="10"/>
      <x:c r="H772" s="10" t="n">
        <x:v>165</x:v>
      </x:c>
      <x:c r="I772" s="11"/>
      <x:c r="J772" s="11"/>
      <x:c r="K772" s="11" t="n">
        <x:f aca="0">SUM(F772*H772)</x:f>
        <x:v>0</x:v>
      </x:c>
      <x:c r="L772" s="11"/>
      <x:c r="M772" s="11"/>
      <x:c r="N772" s="11"/>
      <x:c r="O772" s="11"/>
      <x:c r="P772" s="11"/>
      <x:c r="Q772" s="11"/>
      <x:c r="T772"/>
    </x:row>
    <x:row r="773" ht="22.200000762939453" hidden="0">
      <x:c r="A773" s="12" t="s">
        <x:v>50</x:v>
      </x:c>
      <x:c r="B773" s="10"/>
      <x:c r="C773" s="10"/>
      <x:c r="D773" s="10"/>
      <x:c r="E773" s="10"/>
      <x:c r="F773" s="10"/>
      <x:c r="G773" s="10"/>
      <x:c r="H773" s="10"/>
      <x:c r="I773" s="11"/>
      <x:c r="J773" s="11"/>
      <x:c r="K773" s="11" t="n">
        <x:f aca="0">SUM(F773*H773)</x:f>
        <x:v>0</x:v>
      </x:c>
      <x:c r="L773" s="11"/>
      <x:c r="M773" s="11"/>
      <x:c r="N773" s="11"/>
      <x:c r="O773" s="11"/>
      <x:c r="P773" s="11"/>
      <x:c r="Q773" s="11"/>
      <x:c r="T773"/>
    </x:row>
    <x:row r="774" ht="22.200000762939453" hidden="0">
      <x:c r="A774" s="12" t="s">
        <x:v>51</x:v>
      </x:c>
      <x:c r="B774" s="10"/>
      <x:c r="C774" s="10"/>
      <x:c r="D774" s="10"/>
      <x:c r="E774" s="10"/>
      <x:c r="F774" s="10"/>
      <x:c r="G774" s="10"/>
      <x:c r="H774" s="10"/>
      <x:c r="I774" s="11"/>
      <x:c r="J774" s="11"/>
      <x:c r="K774" s="11" t="n">
        <x:f aca="0">SUM(F774*H774)</x:f>
        <x:v>0</x:v>
      </x:c>
      <x:c r="L774" s="11"/>
      <x:c r="M774" s="11"/>
      <x:c r="N774" s="11"/>
      <x:c r="O774" s="11"/>
      <x:c r="P774" s="11"/>
      <x:c r="Q774" s="11"/>
      <x:c r="T774"/>
    </x:row>
    <x:row r="775" ht="22.200000762939453" hidden="0">
      <x:c r="A775" s="12" t="s">
        <x:v>52</x:v>
      </x:c>
      <x:c r="B775" s="10"/>
      <x:c r="C775" s="10"/>
      <x:c r="D775" s="10"/>
      <x:c r="E775" s="10"/>
      <x:c r="F775" s="10"/>
      <x:c r="G775" s="10"/>
      <x:c r="H775" s="10"/>
      <x:c r="I775" s="11"/>
      <x:c r="J775" s="11"/>
      <x:c r="K775" s="11" t="n">
        <x:f aca="0">SUM(F775*H775)</x:f>
        <x:v>0</x:v>
      </x:c>
      <x:c r="L775" s="11"/>
      <x:c r="M775" s="11"/>
      <x:c r="N775" s="11"/>
      <x:c r="O775" s="11"/>
      <x:c r="P775" s="11"/>
      <x:c r="Q775" s="11"/>
      <x:c r="T775"/>
    </x:row>
    <x:row r="776" ht="22.200000762939453" hidden="0">
      <x:c r="A776" s="12" t="s">
        <x:v>53</x:v>
      </x:c>
      <x:c r="B776" s="10"/>
      <x:c r="C776" s="10"/>
      <x:c r="D776" s="10"/>
      <x:c r="E776" s="10"/>
      <x:c r="F776" s="10"/>
      <x:c r="G776" s="10"/>
      <x:c r="H776" s="10" t="n">
        <x:v>66</x:v>
      </x:c>
      <x:c r="I776" s="11"/>
      <x:c r="J776" s="11"/>
      <x:c r="K776" s="11" t="n">
        <x:f aca="0">SUM(F776*H776)</x:f>
        <x:v>0</x:v>
      </x:c>
      <x:c r="L776" s="11"/>
      <x:c r="M776" s="11"/>
      <x:c r="N776" s="11"/>
      <x:c r="O776" s="11"/>
      <x:c r="P776" s="11"/>
      <x:c r="Q776" s="11"/>
      <x:c r="T776"/>
    </x:row>
    <x:row r="777" ht="22.200000762939453" hidden="0">
      <x:c r="A777" s="10" t="s">
        <x:v>54</x:v>
      </x:c>
      <x:c r="B777" s="10"/>
      <x:c r="C777" s="10"/>
      <x:c r="D777" s="10"/>
      <x:c r="E777" s="10"/>
      <x:c r="F777" s="10"/>
      <x:c r="G777" s="10"/>
      <x:c r="H777" s="10" t="n">
        <x:v>220</x:v>
      </x:c>
      <x:c r="I777" s="11"/>
      <x:c r="J777" s="11"/>
      <x:c r="K777" s="11" t="n">
        <x:f aca="0">SUM(F777*H777)</x:f>
        <x:v>0</x:v>
      </x:c>
      <x:c r="L777" s="11"/>
      <x:c r="M777" s="11"/>
      <x:c r="N777" s="11"/>
      <x:c r="O777" s="11"/>
      <x:c r="P777" s="11"/>
      <x:c r="Q777" s="11"/>
      <x:c r="T777"/>
    </x:row>
    <x:row r="778" ht="22.200000762939453" hidden="0">
      <x:c r="A778" s="12" t="s">
        <x:v>55</x:v>
      </x:c>
      <x:c r="B778" s="10"/>
      <x:c r="C778" s="10"/>
      <x:c r="D778" s="10"/>
      <x:c r="E778" s="10"/>
      <x:c r="F778" s="10"/>
      <x:c r="G778" s="10"/>
      <x:c r="H778" s="10"/>
      <x:c r="I778" s="11"/>
      <x:c r="J778" s="11"/>
      <x:c r="K778" s="11" t="n">
        <x:f aca="0">SUM(F778*H778)</x:f>
        <x:v>0</x:v>
      </x:c>
      <x:c r="L778" s="11"/>
      <x:c r="M778" s="11"/>
      <x:c r="N778" s="11"/>
      <x:c r="O778" s="11"/>
      <x:c r="P778" s="11"/>
      <x:c r="Q778" s="11"/>
      <x:c r="T778"/>
    </x:row>
    <x:row r="779" ht="22.200000762939453" hidden="0">
      <x:c r="A779" s="10" t="s">
        <x:v>56</x:v>
      </x:c>
      <x:c r="B779" s="10"/>
      <x:c r="C779" s="10"/>
      <x:c r="D779" s="10"/>
      <x:c r="E779" s="10"/>
      <x:c r="F779" s="10"/>
      <x:c r="G779" s="10"/>
      <x:c r="H779" s="10" t="n">
        <x:v>800</x:v>
      </x:c>
      <x:c r="I779" s="11"/>
      <x:c r="J779" s="11"/>
      <x:c r="K779" s="11" t="n">
        <x:f aca="0">SUM(F779*H779)</x:f>
        <x:v>0</x:v>
      </x:c>
      <x:c r="L779" s="11"/>
      <x:c r="M779" s="11"/>
      <x:c r="N779" s="11"/>
      <x:c r="O779" s="11"/>
      <x:c r="P779" s="11"/>
      <x:c r="Q779" s="11"/>
      <x:c r="T779"/>
    </x:row>
    <x:row r="780" ht="22.200000762939453" hidden="0">
      <x:c r="A780" s="10" t="s">
        <x:v>57</x:v>
      </x:c>
      <x:c r="B780" s="10"/>
      <x:c r="C780" s="10"/>
      <x:c r="D780" s="10"/>
      <x:c r="E780" s="10"/>
      <x:c r="F780" s="10"/>
      <x:c r="G780" s="10"/>
      <x:c r="H780" s="10" t="n">
        <x:v>200</x:v>
      </x:c>
      <x:c r="I780" s="11"/>
      <x:c r="J780" s="11"/>
      <x:c r="K780" s="11" t="n">
        <x:f aca="0">SUM(F780*H780)</x:f>
        <x:v>0</x:v>
      </x:c>
      <x:c r="L780" s="11"/>
      <x:c r="M780" s="11"/>
      <x:c r="N780" s="11"/>
      <x:c r="O780" s="11"/>
      <x:c r="P780" s="11"/>
      <x:c r="Q780" s="11"/>
      <x:c r="T780"/>
    </x:row>
    <x:row r="781" ht="22.200000762939453" hidden="0">
      <x:c r="A781" s="10" t="s">
        <x:v>58</x:v>
      </x:c>
      <x:c r="B781" s="10"/>
      <x:c r="C781" s="10"/>
      <x:c r="D781" s="10"/>
      <x:c r="E781" s="10"/>
      <x:c r="F781" s="10"/>
      <x:c r="G781" s="10"/>
      <x:c r="H781" s="10" t="n">
        <x:v>150</x:v>
      </x:c>
      <x:c r="I781" s="11"/>
      <x:c r="J781" s="11"/>
      <x:c r="K781" s="11" t="n">
        <x:f aca="0">SUM(F781*H781)</x:f>
        <x:v>0</x:v>
      </x:c>
      <x:c r="L781" s="11"/>
      <x:c r="M781" s="11"/>
      <x:c r="N781" s="11"/>
      <x:c r="O781" s="11"/>
      <x:c r="P781" s="11"/>
      <x:c r="Q781" s="11"/>
      <x:c r="T781"/>
    </x:row>
    <x:row r="782" ht="22.200000762939453" hidden="0">
      <x:c r="A782" s="10" t="s">
        <x:v>59</x:v>
      </x:c>
      <x:c r="B782" s="10"/>
      <x:c r="C782" s="10"/>
      <x:c r="D782" s="10"/>
      <x:c r="E782" s="10"/>
      <x:c r="F782" s="10"/>
      <x:c r="G782" s="10"/>
      <x:c r="H782" s="10" t="n">
        <x:v>34</x:v>
      </x:c>
      <x:c r="I782" s="11"/>
      <x:c r="J782" s="11"/>
      <x:c r="K782" s="11" t="n">
        <x:f aca="0">SUM(F782*H782)</x:f>
        <x:v>0</x:v>
      </x:c>
      <x:c r="L782" s="11"/>
      <x:c r="M782" s="11"/>
      <x:c r="N782" s="11"/>
      <x:c r="O782" s="11"/>
      <x:c r="P782" s="11"/>
      <x:c r="Q782" s="11"/>
      <x:c r="T782"/>
    </x:row>
    <x:row r="783" ht="22.200000762939453" hidden="0">
      <x:c r="A783" s="10" t="s">
        <x:v>60</x:v>
      </x:c>
      <x:c r="B783" s="10"/>
      <x:c r="C783" s="10"/>
      <x:c r="D783" s="10"/>
      <x:c r="E783" s="10"/>
      <x:c r="F783" s="10"/>
      <x:c r="G783" s="10"/>
      <x:c r="H783" s="10" t="n">
        <x:v>6</x:v>
      </x:c>
      <x:c r="I783" s="11"/>
      <x:c r="J783" s="11"/>
      <x:c r="K783" s="11" t="n">
        <x:f aca="0">SUM(F783*H783)</x:f>
        <x:v>0</x:v>
      </x:c>
      <x:c r="L783" s="11"/>
      <x:c r="M783" s="11"/>
      <x:c r="N783" s="11"/>
      <x:c r="O783" s="11"/>
      <x:c r="P783" s="11"/>
      <x:c r="Q783" s="11"/>
      <x:c r="T783"/>
    </x:row>
    <x:row r="784" ht="22.200000762939453" hidden="0">
      <x:c r="A784" s="10" t="s">
        <x:v>61</x:v>
      </x:c>
      <x:c r="B784" s="10"/>
      <x:c r="C784" s="10"/>
      <x:c r="D784" s="10"/>
      <x:c r="E784" s="10"/>
      <x:c r="F784" s="10"/>
      <x:c r="G784" s="10"/>
      <x:c r="H784" s="10" t="n">
        <x:v>670</x:v>
      </x:c>
      <x:c r="I784" s="11"/>
      <x:c r="J784" s="11"/>
      <x:c r="K784" s="11" t="n">
        <x:f aca="0">SUM(F784*H784)</x:f>
        <x:v>0</x:v>
      </x:c>
      <x:c r="L784" s="11"/>
      <x:c r="M784" s="11"/>
      <x:c r="N784" s="11"/>
      <x:c r="O784" s="11"/>
      <x:c r="P784" s="11"/>
      <x:c r="Q784" s="11"/>
      <x:c r="T784"/>
    </x:row>
    <x:row r="785" ht="22.200000762939453" hidden="0">
      <x:c r="A785" s="10" t="s">
        <x:v>62</x:v>
      </x:c>
      <x:c r="B785" s="10"/>
      <x:c r="C785" s="10"/>
      <x:c r="D785" s="10"/>
      <x:c r="E785" s="10"/>
      <x:c r="F785" s="10"/>
      <x:c r="G785" s="10"/>
      <x:c r="H785" s="10" t="n">
        <x:v>110</x:v>
      </x:c>
      <x:c r="I785" s="11"/>
      <x:c r="J785" s="11"/>
      <x:c r="K785" s="11" t="n">
        <x:f aca="0">SUM(F785*H785)</x:f>
        <x:v>0</x:v>
      </x:c>
      <x:c r="L785" s="11"/>
      <x:c r="M785" s="11"/>
      <x:c r="N785" s="11"/>
      <x:c r="O785" s="11"/>
      <x:c r="P785" s="11"/>
      <x:c r="Q785" s="11"/>
      <x:c r="T785"/>
    </x:row>
    <x:row r="786" ht="22.200000762939453" hidden="0">
      <x:c r="A786" s="10" t="s">
        <x:v>63</x:v>
      </x:c>
      <x:c r="B786" s="10"/>
      <x:c r="C786" s="10"/>
      <x:c r="D786" s="10"/>
      <x:c r="E786" s="10"/>
      <x:c r="F786" s="10"/>
      <x:c r="G786" s="10"/>
      <x:c r="H786" s="10"/>
      <x:c r="I786" s="11"/>
      <x:c r="J786" s="11"/>
      <x:c r="K786" s="11" t="n">
        <x:f aca="0">SUM(F786*H786)</x:f>
        <x:v>0</x:v>
      </x:c>
      <x:c r="L786" s="11"/>
      <x:c r="M786" s="11"/>
      <x:c r="N786" s="11"/>
      <x:c r="O786" s="11"/>
      <x:c r="P786" s="11"/>
      <x:c r="Q786" s="11"/>
      <x:c r="T786"/>
    </x:row>
    <x:row r="787" ht="22.200000762939453" hidden="0">
      <x:c r="A787" s="10"/>
      <x:c r="B787" s="10"/>
      <x:c r="C787" s="10"/>
      <x:c r="D787" s="10"/>
      <x:c r="E787" s="10"/>
      <x:c r="F787" s="10"/>
      <x:c r="G787" s="10"/>
      <x:c r="H787" s="10"/>
      <x:c r="I787" s="11"/>
      <x:c r="J787" s="11"/>
      <x:c r="K787" s="11" t="n">
        <x:f aca="0">SUM(F787*H787)</x:f>
        <x:v>0</x:v>
      </x:c>
      <x:c r="L787" s="11"/>
      <x:c r="M787" s="11"/>
      <x:c r="N787" s="11"/>
      <x:c r="O787" s="11"/>
      <x:c r="P787" s="11"/>
      <x:c r="Q787" s="11"/>
      <x:c r="T787"/>
    </x:row>
    <x:row r="788" ht="22.200000762939453" hidden="0">
      <x:c r="A788" s="15"/>
      <x:c r="B788" s="15"/>
      <x:c r="C788" s="15"/>
      <x:c r="D788" s="15"/>
      <x:c r="E788" s="15"/>
      <x:c r="F788" s="15"/>
      <x:c r="G788" s="15"/>
      <x:c r="H788" s="15"/>
      <x:c r="I788" s="11" t="n">
        <x:f aca="0">SUM(B788*C788)/90000</x:f>
        <x:v>0</x:v>
      </x:c>
      <x:c r="J788" s="15" t="s">
        <x:v>17</x:v>
      </x:c>
      <x:c r="K788" s="16" t="n">
        <x:f aca="0">SUM(K715:K787)</x:f>
        <x:v>0</x:v>
      </x:c>
      <x:c r="L788" s="16" t="n">
        <x:f aca="0">SUM(K788*1.35)</x:f>
        <x:v>0</x:v>
      </x:c>
      <x:c r="M788" s="16"/>
      <x:c r="N788" s="16" t="n">
        <x:f aca="0">SUM(M788*1.25)</x:f>
        <x:v>0</x:v>
      </x:c>
      <x:c r="O788" s="16"/>
      <x:c r="P788" s="16"/>
      <x:c r="Q788" s="16"/>
      <x:c r="T788"/>
    </x:row>
    <x:row r="793" ht="22.200000762939453" hidden="0">
      <x:c r="A793" s="5"/>
      <x:c r="B793" s="5"/>
      <x:c r="C793" s="5"/>
      <x:c r="D793" s="5"/>
      <x:c r="E793" s="5"/>
      <x:c r="F793" s="5"/>
      <x:c r="G793" s="6"/>
      <x:c r="H793" s="5"/>
      <x:c r="I793" s="3"/>
      <x:c r="J793" s="3"/>
      <x:c r="K793" s="4"/>
      <x:c r="L793" s="4"/>
      <x:c r="M793" s="4"/>
      <x:c r="N793" s="4"/>
      <x:c r="O793" s="4"/>
      <x:c r="P793" s="4"/>
      <x:c r="Q793" s="4"/>
      <x:c r="R793" s="4"/>
    </x:row>
    <x:row r="794" ht="22.200000762939453" hidden="0">
      <x:c r="A794" s="7" t="s">
        <x:v>3</x:v>
      </x:c>
      <x:c r="B794" s="8" t="s">
        <x:v>4</x:v>
      </x:c>
      <x:c r="C794" s="8"/>
      <x:c r="D794" s="7" t="s">
        <x:v>5</x:v>
      </x:c>
      <x:c r="E794" s="7"/>
      <x:c r="F794" s="7" t="s">
        <x:v>6</x:v>
      </x:c>
      <x:c r="G794" s="7"/>
      <x:c r="H794" s="7" t="s">
        <x:v>7</x:v>
      </x:c>
      <x:c r="I794" s="7" t="s">
        <x:v>8</x:v>
      </x:c>
      <x:c r="J794" s="7" t="s">
        <x:v>9</x:v>
      </x:c>
      <x:c r="K794" s="7" t="s">
        <x:v>10</x:v>
      </x:c>
      <x:c r="L794" s="7"/>
      <x:c r="M794" s="7" t="s">
        <x:v>11</x:v>
      </x:c>
      <x:c r="N794" s="7" t="s">
        <x:v>12</x:v>
      </x:c>
      <x:c r="O794" s="7" t="s">
        <x:v>6</x:v>
      </x:c>
      <x:c r="P794" s="7" t="s">
        <x:v>13</x:v>
      </x:c>
      <x:c r="Q794" s="7" t="s">
        <x:v>14</x:v>
      </x:c>
      <x:c r="R794" s="9" t="s">
        <x:v>15</x:v>
      </x:c>
      <x:c r="S794" s="9" t="s">
        <x:v>16</x:v>
      </x:c>
      <x:c r="T794"/>
    </x:row>
    <x:row r="795" ht="22.200000762939453" hidden="0">
      <x:c r="A795" s="10" t="s">
        <x:v>18</x:v>
      </x:c>
      <x:c r="B795" s="10"/>
      <x:c r="C795" s="10"/>
      <x:c r="D795" s="10" t="n">
        <x:v>18</x:v>
      </x:c>
      <x:c r="E795" s="10"/>
      <x:c r="F795" s="10"/>
      <x:c r="G795" s="10"/>
      <x:c r="H795" s="10" t="n">
        <x:v>69</x:v>
      </x:c>
      <x:c r="I795" s="11" t="n">
        <x:f aca="0">ROUND((IF((B795*C795)/90000&lt;1,1))+IF((B795*C795)/90000&gt;=1,(B795*C795)/90000),1.1)</x:f>
        <x:v>1</x:v>
      </x:c>
      <x:c r="J795" s="11" t="n">
        <x:f aca="0">SUM(F795*I795)</x:f>
        <x:v>0</x:v>
      </x:c>
      <x:c r="K795" s="11" t="n">
        <x:f aca="0">SUM(H795*J795)</x:f>
        <x:v>0</x:v>
      </x:c>
      <x:c r="L795" s="11"/>
      <x:c r="M795" s="11" t="n">
        <x:f aca="0">SUM(C795-1)</x:f>
        <x:v>-1</x:v>
      </x:c>
      <x:c r="N795" s="11" t="n">
        <x:f aca="0">SUM(B795-1)</x:f>
        <x:v>-1</x:v>
      </x:c>
      <x:c r="O795" s="11" t="n">
        <x:f aca="0">SUM(F795*1)</x:f>
        <x:v>0</x:v>
      </x:c>
      <x:c r="P795" s="11"/>
      <x:c r="Q795" s="11" t="str">
        <x:f aca="0">A795</x:f>
        <x:v>側板</x:v>
      </x:c>
      <x:c r="R795" s="1" t="n">
        <x:f aca="0">SUM(B795*2+C795*2)*F795</x:f>
        <x:v>0</x:v>
      </x:c>
      <x:c r="T795"/>
    </x:row>
    <x:row r="796" ht="22.200000762939453" hidden="0">
      <x:c r="A796" s="10" t="s">
        <x:v>18</x:v>
      </x:c>
      <x:c r="B796" s="10"/>
      <x:c r="C796" s="10"/>
      <x:c r="D796" s="10" t="n">
        <x:v>18</x:v>
      </x:c>
      <x:c r="E796" s="10"/>
      <x:c r="F796" s="10"/>
      <x:c r="G796" s="10"/>
      <x:c r="H796" s="10" t="n">
        <x:v>69</x:v>
      </x:c>
      <x:c r="I796" s="11" t="n">
        <x:f aca="0">ROUND((IF((B796*C796)/90000&lt;1,1))+IF((B796*C796)/90000&gt;=1,(B796*C796)/90000),1.1)</x:f>
        <x:v>1</x:v>
      </x:c>
      <x:c r="J796" s="11" t="n">
        <x:f aca="0">SUM(F796*I796)</x:f>
        <x:v>0</x:v>
      </x:c>
      <x:c r="K796" s="11" t="n">
        <x:f aca="0">SUM(H796*J796)</x:f>
        <x:v>0</x:v>
      </x:c>
      <x:c r="L796" s="11"/>
      <x:c r="M796" s="11" t="n">
        <x:f aca="0">SUM(C796-1)</x:f>
        <x:v>-1</x:v>
      </x:c>
      <x:c r="N796" s="11" t="n">
        <x:f aca="0">SUM(B796-1)</x:f>
        <x:v>-1</x:v>
      </x:c>
      <x:c r="O796" s="11" t="n">
        <x:f aca="0">SUM(F796*1)</x:f>
        <x:v>0</x:v>
      </x:c>
      <x:c r="P796" s="11"/>
      <x:c r="Q796" s="11" t="str">
        <x:f aca="0">A796</x:f>
        <x:v>側板</x:v>
      </x:c>
      <x:c r="R796" s="1" t="n">
        <x:f aca="0">SUM(B796*2+C796*2)*F796</x:f>
        <x:v>0</x:v>
      </x:c>
      <x:c r="T796"/>
    </x:row>
    <x:row r="797" ht="22.200000762939453" hidden="0">
      <x:c r="A797" s="10" t="s">
        <x:v>18</x:v>
      </x:c>
      <x:c r="B797" s="10"/>
      <x:c r="C797" s="10"/>
      <x:c r="D797" s="10" t="n">
        <x:v>18</x:v>
      </x:c>
      <x:c r="E797" s="10"/>
      <x:c r="F797" s="10"/>
      <x:c r="G797" s="10"/>
      <x:c r="H797" s="10" t="n">
        <x:v>69</x:v>
      </x:c>
      <x:c r="I797" s="11" t="n">
        <x:f aca="0">ROUND((IF((B797*C797)/90000&lt;1,1))+IF((B797*C797)/90000&gt;=1,(B797*C797)/90000),1.1)</x:f>
        <x:v>1</x:v>
      </x:c>
      <x:c r="J797" s="11" t="n">
        <x:f aca="0">SUM(F797*I797)</x:f>
        <x:v>0</x:v>
      </x:c>
      <x:c r="K797" s="11" t="n">
        <x:f aca="0">SUM(H797*J797)</x:f>
        <x:v>0</x:v>
      </x:c>
      <x:c r="L797" s="11"/>
      <x:c r="M797" s="11" t="n">
        <x:f aca="0">SUM(C797-1)</x:f>
        <x:v>-1</x:v>
      </x:c>
      <x:c r="N797" s="11" t="n">
        <x:f aca="0">SUM(B797-1)</x:f>
        <x:v>-1</x:v>
      </x:c>
      <x:c r="O797" s="11" t="n">
        <x:f aca="0">SUM(F797*1)</x:f>
        <x:v>0</x:v>
      </x:c>
      <x:c r="P797" s="11"/>
      <x:c r="Q797" s="11" t="str">
        <x:f aca="0">A797</x:f>
        <x:v>側板</x:v>
      </x:c>
      <x:c r="R797" s="1" t="n">
        <x:f aca="0">SUM(B797*2+C797*2)*F797</x:f>
        <x:v>0</x:v>
      </x:c>
      <x:c r="T797"/>
    </x:row>
    <x:row r="798" ht="22.200000762939453" hidden="0">
      <x:c r="A798" s="10" t="s">
        <x:v>19</x:v>
      </x:c>
      <x:c r="B798" s="10"/>
      <x:c r="C798" s="10"/>
      <x:c r="D798" s="10" t="n">
        <x:v>18</x:v>
      </x:c>
      <x:c r="E798" s="10"/>
      <x:c r="F798" s="10"/>
      <x:c r="G798" s="10"/>
      <x:c r="H798" s="10" t="n">
        <x:v>69</x:v>
      </x:c>
      <x:c r="I798" s="11" t="n">
        <x:f aca="0">ROUND((IF((B798*C798)/90000&lt;1,1))+IF((B798*C798)/90000&gt;=1,(B798*C798)/90000),1.1)</x:f>
        <x:v>1</x:v>
      </x:c>
      <x:c r="J798" s="11" t="n">
        <x:f aca="0">SUM(F798*I798)</x:f>
        <x:v>0</x:v>
      </x:c>
      <x:c r="K798" s="11" t="n">
        <x:f aca="0">SUM(H798*J798)</x:f>
        <x:v>0</x:v>
      </x:c>
      <x:c r="L798" s="11"/>
      <x:c r="M798" s="11" t="n">
        <x:f aca="0">SUM(C798)</x:f>
        <x:v>0</x:v>
      </x:c>
      <x:c r="N798" s="11" t="n">
        <x:f aca="0">SUM(B798-1)</x:f>
        <x:v>-1</x:v>
      </x:c>
      <x:c r="O798" s="11" t="n">
        <x:f aca="0">SUM(F798*1)</x:f>
        <x:v>0</x:v>
      </x:c>
      <x:c r="P798" s="11"/>
      <x:c r="Q798" s="11" t="str">
        <x:f aca="0">A798</x:f>
        <x:v>頂底板</x:v>
      </x:c>
      <x:c r="R798" s="1" t="n">
        <x:f aca="0">SUM(C798*2)*F798</x:f>
        <x:v>0</x:v>
      </x:c>
      <x:c r="T798"/>
    </x:row>
    <x:row r="799" ht="22.200000762939453" hidden="0">
      <x:c r="A799" s="10" t="s">
        <x:v>19</x:v>
      </x:c>
      <x:c r="B799" s="10"/>
      <x:c r="C799" s="10"/>
      <x:c r="D799" s="10" t="n">
        <x:v>18</x:v>
      </x:c>
      <x:c r="E799" s="10"/>
      <x:c r="F799" s="10"/>
      <x:c r="G799" s="10"/>
      <x:c r="H799" s="10" t="n">
        <x:v>69</x:v>
      </x:c>
      <x:c r="I799" s="11" t="n">
        <x:f aca="0">ROUND((IF((B799*C799)/90000&lt;1,1))+IF((B799*C799)/90000&gt;=1,(B799*C799)/90000),1.1)</x:f>
        <x:v>1</x:v>
      </x:c>
      <x:c r="J799" s="11" t="n">
        <x:f aca="0">SUM(F799*I799)</x:f>
        <x:v>0</x:v>
      </x:c>
      <x:c r="K799" s="11" t="n">
        <x:f aca="0">SUM(H799*J799)</x:f>
        <x:v>0</x:v>
      </x:c>
      <x:c r="L799" s="11"/>
      <x:c r="M799" s="11" t="n">
        <x:f aca="0">SUM(C799)</x:f>
        <x:v>0</x:v>
      </x:c>
      <x:c r="N799" s="11" t="n">
        <x:f aca="0">SUM(B799-1)</x:f>
        <x:v>-1</x:v>
      </x:c>
      <x:c r="O799" s="11" t="n">
        <x:f aca="0">SUM(F799*1)</x:f>
        <x:v>0</x:v>
      </x:c>
      <x:c r="P799" s="11"/>
      <x:c r="Q799" s="11" t="str">
        <x:f aca="0">A799</x:f>
        <x:v>頂底板</x:v>
      </x:c>
      <x:c r="R799" s="1" t="n">
        <x:f aca="0">SUM(C799*2)*F799</x:f>
        <x:v>0</x:v>
      </x:c>
      <x:c r="T799"/>
    </x:row>
    <x:row r="800" ht="22.200000762939453" hidden="0">
      <x:c r="A800" s="10" t="s">
        <x:v>19</x:v>
      </x:c>
      <x:c r="B800" s="10"/>
      <x:c r="C800" s="10"/>
      <x:c r="D800" s="10" t="n">
        <x:v>18</x:v>
      </x:c>
      <x:c r="E800" s="10"/>
      <x:c r="F800" s="10"/>
      <x:c r="G800" s="10"/>
      <x:c r="H800" s="10" t="n">
        <x:v>69</x:v>
      </x:c>
      <x:c r="I800" s="11" t="n">
        <x:f aca="0">ROUND((IF((B800*C800)/90000&lt;1,1))+IF((B800*C800)/90000&gt;=1,(B800*C800)/90000),1.1)</x:f>
        <x:v>1</x:v>
      </x:c>
      <x:c r="J800" s="11" t="n">
        <x:f aca="0">SUM(F800*I800)</x:f>
        <x:v>0</x:v>
      </x:c>
      <x:c r="K800" s="11" t="n">
        <x:f aca="0">SUM(H800*J800)</x:f>
        <x:v>0</x:v>
      </x:c>
      <x:c r="L800" s="11"/>
      <x:c r="M800" s="11" t="n">
        <x:f aca="0">SUM(C800)</x:f>
        <x:v>0</x:v>
      </x:c>
      <x:c r="N800" s="11" t="n">
        <x:f aca="0">SUM(B800-1)</x:f>
        <x:v>-1</x:v>
      </x:c>
      <x:c r="O800" s="11" t="n">
        <x:f aca="0">SUM(F800*1)</x:f>
        <x:v>0</x:v>
      </x:c>
      <x:c r="P800" s="11"/>
      <x:c r="Q800" s="11" t="str">
        <x:f aca="0">A800</x:f>
        <x:v>頂底板</x:v>
      </x:c>
      <x:c r="R800" s="1" t="n">
        <x:f aca="0">SUM(C800*2)*F800</x:f>
        <x:v>0</x:v>
      </x:c>
      <x:c r="T800"/>
    </x:row>
    <x:row r="801" ht="22.200000762939453" hidden="0">
      <x:c r="A801" s="10" t="s">
        <x:v>20</x:v>
      </x:c>
      <x:c r="B801" s="10"/>
      <x:c r="C801" s="10"/>
      <x:c r="D801" s="10" t="n">
        <x:v>18</x:v>
      </x:c>
      <x:c r="E801" s="10"/>
      <x:c r="F801" s="10"/>
      <x:c r="G801" s="10"/>
      <x:c r="H801" s="10" t="n">
        <x:v>74</x:v>
      </x:c>
      <x:c r="I801" s="11" t="n">
        <x:f aca="0">ROUND((IF((B801*C801)/90000&lt;1,1))+IF((B801*C801)/90000&gt;=1,(B801*C801)/90000),1.1)</x:f>
        <x:v>1</x:v>
      </x:c>
      <x:c r="J801" s="11" t="n">
        <x:f aca="0">SUM(F801*I801)</x:f>
        <x:v>0</x:v>
      </x:c>
      <x:c r="K801" s="11" t="n">
        <x:f aca="0">SUM(H801*J801)</x:f>
        <x:v>0</x:v>
      </x:c>
      <x:c r="L801" s="11"/>
      <x:c r="M801" s="11" t="n">
        <x:f aca="0">SUM(C801)</x:f>
        <x:v>0</x:v>
      </x:c>
      <x:c r="N801" s="11" t="n">
        <x:f aca="0">SUM(B801-1)</x:f>
        <x:v>-1</x:v>
      </x:c>
      <x:c r="O801" s="11" t="n">
        <x:f aca="0">SUM(F801*1)</x:f>
        <x:v>0</x:v>
      </x:c>
      <x:c r="P801" s="11"/>
      <x:c r="Q801" s="11" t="str">
        <x:f aca="0">A801</x:f>
        <x:v>中立板</x:v>
      </x:c>
      <x:c r="R801" s="1" t="n">
        <x:f aca="0">SUM(C801*1)*F801</x:f>
        <x:v>0</x:v>
      </x:c>
      <x:c r="T801"/>
    </x:row>
    <x:row r="802" ht="22.200000762939453" hidden="0">
      <x:c r="A802" s="10" t="s">
        <x:v>20</x:v>
      </x:c>
      <x:c r="B802" s="10"/>
      <x:c r="C802" s="10"/>
      <x:c r="D802" s="10" t="n">
        <x:v>18</x:v>
      </x:c>
      <x:c r="E802" s="10"/>
      <x:c r="F802" s="10"/>
      <x:c r="G802" s="10"/>
      <x:c r="H802" s="10" t="n">
        <x:v>74</x:v>
      </x:c>
      <x:c r="I802" s="11" t="n">
        <x:f aca="0">ROUND((IF((B802*C802)/90000&lt;1,1))+IF((B802*C802)/90000&gt;=1,(B802*C802)/90000),1.1)</x:f>
        <x:v>1</x:v>
      </x:c>
      <x:c r="J802" s="11" t="n">
        <x:f aca="0">SUM(F802*I802)</x:f>
        <x:v>0</x:v>
      </x:c>
      <x:c r="K802" s="11" t="n">
        <x:f aca="0">SUM(H802*J802)</x:f>
        <x:v>0</x:v>
      </x:c>
      <x:c r="L802" s="11"/>
      <x:c r="M802" s="11" t="n">
        <x:f aca="0">SUM(C802)</x:f>
        <x:v>0</x:v>
      </x:c>
      <x:c r="N802" s="11" t="n">
        <x:f aca="0">SUM(B802-1)</x:f>
        <x:v>-1</x:v>
      </x:c>
      <x:c r="O802" s="11" t="n">
        <x:f aca="0">SUM(F802*1)</x:f>
        <x:v>0</x:v>
      </x:c>
      <x:c r="P802" s="11"/>
      <x:c r="Q802" s="11" t="str">
        <x:f aca="0">A802</x:f>
        <x:v>中立板</x:v>
      </x:c>
      <x:c r="R802" s="1" t="n">
        <x:f aca="0">SUM(C802*1)*F802</x:f>
        <x:v>0</x:v>
      </x:c>
      <x:c r="T802"/>
    </x:row>
    <x:row r="803" ht="22.200000762939453" hidden="0">
      <x:c r="A803" s="10" t="s">
        <x:v>21</x:v>
      </x:c>
      <x:c r="B803" s="10"/>
      <x:c r="C803" s="10"/>
      <x:c r="D803" s="10" t="n">
        <x:v>18</x:v>
      </x:c>
      <x:c r="E803" s="10"/>
      <x:c r="F803" s="10"/>
      <x:c r="G803" s="10"/>
      <x:c r="H803" s="10" t="n">
        <x:v>69</x:v>
      </x:c>
      <x:c r="I803" s="11" t="n">
        <x:f aca="0">ROUND((IF((B803*C803)/90000&lt;1,1))+IF((B803*C803)/90000&gt;=1,(B803*C803)/90000),1.1)</x:f>
        <x:v>1</x:v>
      </x:c>
      <x:c r="J803" s="11" t="n">
        <x:f aca="0">SUM(F803*I803)</x:f>
        <x:v>0</x:v>
      </x:c>
      <x:c r="K803" s="11" t="n">
        <x:f aca="0">SUM(H803*J803)</x:f>
        <x:v>0</x:v>
      </x:c>
      <x:c r="L803" s="11"/>
      <x:c r="M803" s="11" t="n">
        <x:f aca="0">SUM(C803)</x:f>
        <x:v>0</x:v>
      </x:c>
      <x:c r="N803" s="11" t="n">
        <x:f aca="0">SUM(B803-1)</x:f>
        <x:v>-1</x:v>
      </x:c>
      <x:c r="O803" s="11" t="n">
        <x:f aca="0">SUM(F803*1)</x:f>
        <x:v>0</x:v>
      </x:c>
      <x:c r="P803" s="11"/>
      <x:c r="Q803" s="11" t="str">
        <x:f aca="0">A803</x:f>
        <x:v>固格板</x:v>
      </x:c>
      <x:c r="R803" s="1" t="n">
        <x:f aca="0">SUM(C803*1)*F803</x:f>
        <x:v>0</x:v>
      </x:c>
      <x:c r="T803"/>
    </x:row>
    <x:row r="804" ht="22.200000762939453" hidden="0">
      <x:c r="A804" s="10" t="s">
        <x:v>21</x:v>
      </x:c>
      <x:c r="B804" s="10"/>
      <x:c r="C804" s="10"/>
      <x:c r="D804" s="10" t="n">
        <x:v>18</x:v>
      </x:c>
      <x:c r="E804" s="10"/>
      <x:c r="F804" s="10"/>
      <x:c r="G804" s="10"/>
      <x:c r="H804" s="10" t="n">
        <x:v>69</x:v>
      </x:c>
      <x:c r="I804" s="11" t="n">
        <x:f aca="0">ROUND((IF((B804*C804)/90000&lt;1,1))+IF((B804*C804)/90000&gt;=1,(B804*C804)/90000),1.1)</x:f>
        <x:v>1</x:v>
      </x:c>
      <x:c r="J804" s="11" t="n">
        <x:f aca="0">SUM(F804*I804)</x:f>
        <x:v>0</x:v>
      </x:c>
      <x:c r="K804" s="11" t="n">
        <x:f aca="0">SUM(H804*J804)</x:f>
        <x:v>0</x:v>
      </x:c>
      <x:c r="L804" s="11"/>
      <x:c r="M804" s="11" t="n">
        <x:f aca="0">SUM(C804)</x:f>
        <x:v>0</x:v>
      </x:c>
      <x:c r="N804" s="11" t="n">
        <x:f aca="0">SUM(B804-1)</x:f>
        <x:v>-1</x:v>
      </x:c>
      <x:c r="O804" s="11" t="n">
        <x:f aca="0">SUM(F804*1)</x:f>
        <x:v>0</x:v>
      </x:c>
      <x:c r="P804" s="11"/>
      <x:c r="Q804" s="11" t="str">
        <x:f aca="0">A804</x:f>
        <x:v>固格板</x:v>
      </x:c>
      <x:c r="R804" s="1" t="n">
        <x:f aca="0">SUM(C804*1)*F804</x:f>
        <x:v>0</x:v>
      </x:c>
      <x:c r="T804"/>
    </x:row>
    <x:row r="805" ht="22.200000762939453" hidden="0">
      <x:c r="A805" s="10" t="s">
        <x:v>21</x:v>
      </x:c>
      <x:c r="B805" s="10"/>
      <x:c r="C805" s="10"/>
      <x:c r="D805" s="10" t="n">
        <x:v>18</x:v>
      </x:c>
      <x:c r="E805" s="10"/>
      <x:c r="F805" s="10"/>
      <x:c r="G805" s="10"/>
      <x:c r="H805" s="10" t="n">
        <x:v>69</x:v>
      </x:c>
      <x:c r="I805" s="11" t="n">
        <x:f aca="0">ROUND((IF((B805*C805)/90000&lt;1,1))+IF((B805*C805)/90000&gt;=1,(B805*C805)/90000),1.1)</x:f>
        <x:v>1</x:v>
      </x:c>
      <x:c r="J805" s="11" t="n">
        <x:f aca="0">SUM(F805*I805)</x:f>
        <x:v>0</x:v>
      </x:c>
      <x:c r="K805" s="11" t="n">
        <x:f aca="0">SUM(H805*J805)</x:f>
        <x:v>0</x:v>
      </x:c>
      <x:c r="L805" s="11"/>
      <x:c r="M805" s="11" t="n">
        <x:f aca="0">SUM(C805)</x:f>
        <x:v>0</x:v>
      </x:c>
      <x:c r="N805" s="11" t="n">
        <x:f aca="0">SUM(B805-1)</x:f>
        <x:v>-1</x:v>
      </x:c>
      <x:c r="O805" s="11" t="n">
        <x:f aca="0">SUM(F805*1)</x:f>
        <x:v>0</x:v>
      </x:c>
      <x:c r="P805" s="11"/>
      <x:c r="Q805" s="11" t="str">
        <x:f aca="0">A805</x:f>
        <x:v>固格板</x:v>
      </x:c>
      <x:c r="R805" s="1" t="n">
        <x:f aca="0">SUM(C805*1)*F805</x:f>
        <x:v>0</x:v>
      </x:c>
      <x:c r="T805"/>
    </x:row>
    <x:row r="806" ht="22.200000762939453" hidden="0">
      <x:c r="A806" s="10" t="s">
        <x:v>22</x:v>
      </x:c>
      <x:c r="B806" s="10"/>
      <x:c r="C806" s="10"/>
      <x:c r="D806" s="10" t="n">
        <x:v>18</x:v>
      </x:c>
      <x:c r="E806" s="10"/>
      <x:c r="F806" s="10"/>
      <x:c r="G806" s="10"/>
      <x:c r="H806" s="10" t="n">
        <x:v>69</x:v>
      </x:c>
      <x:c r="I806" s="11" t="n">
        <x:f aca="0">ROUND((IF((B806*C806)/90000&lt;1,1))+IF((B806*C806)/90000&gt;=1,(B806*C806)/90000),1.1)</x:f>
        <x:v>1</x:v>
      </x:c>
      <x:c r="J806" s="11" t="n">
        <x:f aca="0">SUM(F806*I806)</x:f>
        <x:v>0</x:v>
      </x:c>
      <x:c r="K806" s="11" t="n">
        <x:f aca="0">SUM(H806*J806)</x:f>
        <x:v>0</x:v>
      </x:c>
      <x:c r="L806" s="11"/>
      <x:c r="M806" s="11" t="n">
        <x:f aca="0">SUM(C806-1)</x:f>
        <x:v>-1</x:v>
      </x:c>
      <x:c r="N806" s="11" t="n">
        <x:f aca="0">SUM(B806-1)</x:f>
        <x:v>-1</x:v>
      </x:c>
      <x:c r="O806" s="11" t="n">
        <x:f aca="0">SUM(F806*1)</x:f>
        <x:v>0</x:v>
      </x:c>
      <x:c r="P806" s="11"/>
      <x:c r="Q806" s="11" t="str">
        <x:f aca="0">A806</x:f>
        <x:v>活格板</x:v>
      </x:c>
      <x:c r="R806" s="1" t="n">
        <x:f aca="0">SUM(B806*2+C806*2)*F806</x:f>
        <x:v>0</x:v>
      </x:c>
      <x:c r="T806"/>
    </x:row>
    <x:row r="807" ht="22.200000762939453" hidden="0">
      <x:c r="A807" s="10" t="s">
        <x:v>22</x:v>
      </x:c>
      <x:c r="B807" s="10"/>
      <x:c r="C807" s="10"/>
      <x:c r="D807" s="10" t="n">
        <x:v>18</x:v>
      </x:c>
      <x:c r="E807" s="10"/>
      <x:c r="F807" s="10"/>
      <x:c r="G807" s="10"/>
      <x:c r="H807" s="10" t="n">
        <x:v>69</x:v>
      </x:c>
      <x:c r="I807" s="11" t="n">
        <x:f aca="0">ROUND((IF((B807*C807)/90000&lt;1,1))+IF((B807*C807)/90000&gt;=1,(B807*C807)/90000),1.1)</x:f>
        <x:v>1</x:v>
      </x:c>
      <x:c r="J807" s="11" t="n">
        <x:f aca="0">SUM(F807*I807)</x:f>
        <x:v>0</x:v>
      </x:c>
      <x:c r="K807" s="11" t="n">
        <x:f aca="0">SUM(H807*J807)</x:f>
        <x:v>0</x:v>
      </x:c>
      <x:c r="L807" s="11"/>
      <x:c r="M807" s="11" t="n">
        <x:f aca="0">SUM(C807-1)</x:f>
        <x:v>-1</x:v>
      </x:c>
      <x:c r="N807" s="11" t="n">
        <x:f aca="0">SUM(B807-1)</x:f>
        <x:v>-1</x:v>
      </x:c>
      <x:c r="O807" s="11" t="n">
        <x:f aca="0">SUM(F807*1)</x:f>
        <x:v>0</x:v>
      </x:c>
      <x:c r="P807" s="11"/>
      <x:c r="Q807" s="11" t="str">
        <x:f aca="0">A807</x:f>
        <x:v>活格板</x:v>
      </x:c>
      <x:c r="R807" s="1" t="n">
        <x:f aca="0">SUM(B807*2+C807*2)*F807</x:f>
        <x:v>0</x:v>
      </x:c>
      <x:c r="T807"/>
    </x:row>
    <x:row r="808" ht="22.200000762939453" hidden="0">
      <x:c r="A808" s="10" t="s">
        <x:v>22</x:v>
      </x:c>
      <x:c r="B808" s="10"/>
      <x:c r="C808" s="10"/>
      <x:c r="D808" s="10" t="n">
        <x:v>18</x:v>
      </x:c>
      <x:c r="E808" s="10"/>
      <x:c r="F808" s="10"/>
      <x:c r="G808" s="10"/>
      <x:c r="H808" s="10" t="n">
        <x:v>69</x:v>
      </x:c>
      <x:c r="I808" s="11" t="n">
        <x:f aca="0">ROUND((IF((B808*C808)/90000&lt;1,1))+IF((B808*C808)/90000&gt;=1,(B808*C808)/90000),1.1)</x:f>
        <x:v>1</x:v>
      </x:c>
      <x:c r="J808" s="11" t="n">
        <x:f aca="0">SUM(F808*I808)</x:f>
        <x:v>0</x:v>
      </x:c>
      <x:c r="K808" s="11" t="n">
        <x:f aca="0">SUM(H808*J808)</x:f>
        <x:v>0</x:v>
      </x:c>
      <x:c r="L808" s="11"/>
      <x:c r="M808" s="11" t="n">
        <x:f aca="0">SUM(C808-1)</x:f>
        <x:v>-1</x:v>
      </x:c>
      <x:c r="N808" s="11" t="n">
        <x:f aca="0">SUM(B808-1)</x:f>
        <x:v>-1</x:v>
      </x:c>
      <x:c r="O808" s="11" t="n">
        <x:f aca="0">SUM(F808*1)</x:f>
        <x:v>0</x:v>
      </x:c>
      <x:c r="P808" s="11"/>
      <x:c r="Q808" s="11" t="str">
        <x:f aca="0">A808</x:f>
        <x:v>活格板</x:v>
      </x:c>
      <x:c r="R808" s="1" t="n">
        <x:f aca="0">SUM(B808*2+C808*2)*F808</x:f>
        <x:v>0</x:v>
      </x:c>
      <x:c r="T808"/>
    </x:row>
    <x:row r="809" ht="22.200000762939453" hidden="0">
      <x:c r="A809" s="10" t="s">
        <x:v>22</x:v>
      </x:c>
      <x:c r="B809" s="10"/>
      <x:c r="C809" s="10"/>
      <x:c r="D809" s="10" t="n">
        <x:v>18</x:v>
      </x:c>
      <x:c r="E809" s="10"/>
      <x:c r="F809" s="10"/>
      <x:c r="G809" s="10"/>
      <x:c r="H809" s="10" t="n">
        <x:v>69</x:v>
      </x:c>
      <x:c r="I809" s="11" t="n">
        <x:f aca="0">ROUND((IF((B809*C809)/90000&lt;1,1))+IF((B809*C809)/90000&gt;=1,(B809*C809)/90000),1.1)</x:f>
        <x:v>1</x:v>
      </x:c>
      <x:c r="J809" s="11" t="n">
        <x:f aca="0">SUM(F809*I809)</x:f>
        <x:v>0</x:v>
      </x:c>
      <x:c r="K809" s="11" t="n">
        <x:f aca="0">SUM(H809*J809)</x:f>
        <x:v>0</x:v>
      </x:c>
      <x:c r="L809" s="11"/>
      <x:c r="M809" s="11" t="n">
        <x:f aca="0">SUM(C809-1)</x:f>
        <x:v>-1</x:v>
      </x:c>
      <x:c r="N809" s="11" t="n">
        <x:f aca="0">SUM(B809-1)</x:f>
        <x:v>-1</x:v>
      </x:c>
      <x:c r="O809" s="11" t="n">
        <x:f aca="0">SUM(F809*1)</x:f>
        <x:v>0</x:v>
      </x:c>
      <x:c r="P809" s="11"/>
      <x:c r="Q809" s="11" t="str">
        <x:f aca="0">A809</x:f>
        <x:v>活格板</x:v>
      </x:c>
      <x:c r="R809" s="1" t="n">
        <x:f aca="0">SUM(B809*2+C809*2)*F809</x:f>
        <x:v>0</x:v>
      </x:c>
      <x:c r="T809"/>
    </x:row>
    <x:row r="810" ht="22.200000762939453" hidden="0">
      <x:c r="A810" s="10" t="s">
        <x:v>23</x:v>
      </x:c>
      <x:c r="B810" s="10"/>
      <x:c r="C810" s="10"/>
      <x:c r="D810" s="10" t="n">
        <x:v>18</x:v>
      </x:c>
      <x:c r="E810" s="10"/>
      <x:c r="F810" s="10"/>
      <x:c r="G810" s="10"/>
      <x:c r="H810" s="10" t="n">
        <x:v>69</x:v>
      </x:c>
      <x:c r="I810" s="11" t="n">
        <x:f aca="0">ROUND((IF((B810*C810)/90000&lt;1,1))+IF((B810*C810)/90000&gt;=1,(B810*C810)/90000),1.1)</x:f>
        <x:v>1</x:v>
      </x:c>
      <x:c r="J810" s="11" t="n">
        <x:f aca="0">SUM(F810*I810)</x:f>
        <x:v>0</x:v>
      </x:c>
      <x:c r="K810" s="11" t="n">
        <x:f aca="0">SUM(H810*J810)</x:f>
        <x:v>0</x:v>
      </x:c>
      <x:c r="L810" s="11"/>
      <x:c r="M810" s="11" t="n">
        <x:f aca="0">SUM(C810-1)</x:f>
        <x:v>-1</x:v>
      </x:c>
      <x:c r="N810" s="11" t="n">
        <x:f aca="0">SUM(B810-1)</x:f>
        <x:v>-1</x:v>
      </x:c>
      <x:c r="O810" s="11" t="n">
        <x:f aca="0">SUM(F810*1)</x:f>
        <x:v>0</x:v>
      </x:c>
      <x:c r="P810" s="11"/>
      <x:c r="Q810" s="11" t="str">
        <x:f aca="0">A810</x:f>
        <x:v>抽框</x:v>
      </x:c>
      <x:c r="R810" s="1" t="n">
        <x:f aca="0">SUM(B810*2+C810*2)*F810</x:f>
        <x:v>0</x:v>
      </x:c>
      <x:c r="T810"/>
    </x:row>
    <x:row r="811" ht="22.200000762939453" hidden="0">
      <x:c r="A811" s="10" t="s">
        <x:v>24</x:v>
      </x:c>
      <x:c r="B811" s="10"/>
      <x:c r="C811" s="10"/>
      <x:c r="D811" s="10" t="n">
        <x:v>18</x:v>
      </x:c>
      <x:c r="E811" s="10"/>
      <x:c r="F811" s="10"/>
      <x:c r="G811" s="10"/>
      <x:c r="H811" s="10" t="n">
        <x:v>69</x:v>
      </x:c>
      <x:c r="I811" s="11" t="n">
        <x:f aca="0">ROUND((IF((B811*C811)/90000&lt;1,1))+IF((B811*C811)/90000&gt;=1,(B811*C811)/90000),1.1)</x:f>
        <x:v>1</x:v>
      </x:c>
      <x:c r="J811" s="11" t="n">
        <x:f aca="0">SUM(F811*I811)</x:f>
        <x:v>0</x:v>
      </x:c>
      <x:c r="K811" s="11" t="n">
        <x:f aca="0">SUM(H811*J811)</x:f>
        <x:v>0</x:v>
      </x:c>
      <x:c r="L811" s="11"/>
      <x:c r="M811" s="11" t="n">
        <x:f aca="0">SUM(C811-1)</x:f>
        <x:v>-1</x:v>
      </x:c>
      <x:c r="N811" s="11" t="n">
        <x:f aca="0">SUM(B811-1)</x:f>
        <x:v>-1</x:v>
      </x:c>
      <x:c r="O811" s="11" t="n">
        <x:f aca="0">SUM(F811*1)</x:f>
        <x:v>0</x:v>
      </x:c>
      <x:c r="P811" s="11"/>
      <x:c r="Q811" s="11" t="str">
        <x:f aca="0">A811</x:f>
        <x:v>框中立</x:v>
      </x:c>
      <x:c r="R811" s="1" t="n">
        <x:f aca="0">SUM(B811*2+C811*2)*F811</x:f>
        <x:v>0</x:v>
      </x:c>
      <x:c r="T811"/>
    </x:row>
    <x:row r="812" ht="22.200000762939453" hidden="0">
      <x:c r="A812" s="10" t="s">
        <x:v>25</x:v>
      </x:c>
      <x:c r="B812" s="10"/>
      <x:c r="C812" s="10"/>
      <x:c r="D812" s="10" t="n">
        <x:v>18</x:v>
      </x:c>
      <x:c r="E812" s="10"/>
      <x:c r="F812" s="10"/>
      <x:c r="G812" s="10"/>
      <x:c r="H812" s="10" t="n">
        <x:v>69</x:v>
      </x:c>
      <x:c r="I812" s="11" t="n">
        <x:f aca="0">ROUND((IF((B812*C812)/90000&lt;1,1))+IF((B812*C812)/90000&gt;=1,(B812*C812)/90000),1.1)</x:f>
        <x:v>1</x:v>
      </x:c>
      <x:c r="J812" s="11" t="n">
        <x:f aca="0">SUM(F812*I812)</x:f>
        <x:v>0</x:v>
      </x:c>
      <x:c r="K812" s="11" t="n">
        <x:f aca="0">SUM(H812*J812)</x:f>
        <x:v>0</x:v>
      </x:c>
      <x:c r="L812" s="11"/>
      <x:c r="M812" s="11" t="n">
        <x:f aca="0">SUM(C812)</x:f>
        <x:v>0</x:v>
      </x:c>
      <x:c r="N812" s="11" t="n">
        <x:f aca="0">SUM(B812-1)</x:f>
        <x:v>-1</x:v>
      </x:c>
      <x:c r="O812" s="11" t="n">
        <x:f aca="0">SUM(F812*1)</x:f>
        <x:v>0</x:v>
      </x:c>
      <x:c r="P812" s="11"/>
      <x:c r="Q812" s="11" t="str">
        <x:f aca="0">A812</x:f>
        <x:v>橫木</x:v>
      </x:c>
      <x:c r="R812" s="1" t="n">
        <x:f aca="0">SUM(C812*2)*F812</x:f>
        <x:v>0</x:v>
      </x:c>
      <x:c r="T812"/>
    </x:row>
    <x:row r="813" ht="22.200000762939453" hidden="0">
      <x:c r="A813" s="10" t="s">
        <x:v>26</x:v>
      </x:c>
      <x:c r="B813" s="10"/>
      <x:c r="C813" s="10"/>
      <x:c r="D813" s="10" t="n">
        <x:v>18</x:v>
      </x:c>
      <x:c r="E813" s="10"/>
      <x:c r="F813" s="10"/>
      <x:c r="G813" s="10"/>
      <x:c r="H813" s="10" t="n">
        <x:v>69</x:v>
      </x:c>
      <x:c r="I813" s="11" t="n">
        <x:f aca="0">ROUND((IF((B813*C813)/90000&lt;1,1))+IF((B813*C813)/90000&gt;=1,(B813*C813)/90000),1.1)</x:f>
        <x:v>1</x:v>
      </x:c>
      <x:c r="J813" s="11" t="n">
        <x:f aca="0">SUM(F813*I813)</x:f>
        <x:v>0</x:v>
      </x:c>
      <x:c r="K813" s="11" t="n">
        <x:f aca="0">SUM(H813*J813)</x:f>
        <x:v>0</x:v>
      </x:c>
      <x:c r="L813" s="11"/>
      <x:c r="M813" s="11" t="n">
        <x:f aca="0">SUM(C813)</x:f>
        <x:v>0</x:v>
      </x:c>
      <x:c r="N813" s="11" t="n">
        <x:f aca="0">SUM(B813-1)</x:f>
        <x:v>-1</x:v>
      </x:c>
      <x:c r="O813" s="11" t="n">
        <x:f aca="0">SUM(F813*1)</x:f>
        <x:v>0</x:v>
      </x:c>
      <x:c r="P813" s="11"/>
      <x:c r="Q813" s="11" t="str">
        <x:f aca="0">A813</x:f>
        <x:v>前抽牆</x:v>
      </x:c>
      <x:c r="R813" s="1" t="n">
        <x:f aca="0">SUM(C813*2)*F813</x:f>
        <x:v>0</x:v>
      </x:c>
      <x:c r="T813"/>
    </x:row>
    <x:row r="814" ht="22.200000762939453" hidden="0">
      <x:c r="A814" s="10" t="s">
        <x:v>26</x:v>
      </x:c>
      <x:c r="B814" s="10"/>
      <x:c r="C814" s="10"/>
      <x:c r="D814" s="10" t="n">
        <x:v>18</x:v>
      </x:c>
      <x:c r="E814" s="10"/>
      <x:c r="F814" s="10"/>
      <x:c r="G814" s="10"/>
      <x:c r="H814" s="10" t="n">
        <x:v>69</x:v>
      </x:c>
      <x:c r="I814" s="11" t="n">
        <x:f aca="0">ROUND((IF((B814*C814)/90000&lt;1,1))+IF((B814*C814)/90000&gt;=1,(B814*C814)/90000),1.1)</x:f>
        <x:v>1</x:v>
      </x:c>
      <x:c r="J814" s="11" t="n">
        <x:f aca="0">SUM(F814*I814)</x:f>
        <x:v>0</x:v>
      </x:c>
      <x:c r="K814" s="11" t="n">
        <x:f aca="0">SUM(H814*J814)</x:f>
        <x:v>0</x:v>
      </x:c>
      <x:c r="L814" s="11"/>
      <x:c r="M814" s="11" t="n">
        <x:f aca="0">SUM(C814)</x:f>
        <x:v>0</x:v>
      </x:c>
      <x:c r="N814" s="11" t="n">
        <x:f aca="0">SUM(B814-1)</x:f>
        <x:v>-1</x:v>
      </x:c>
      <x:c r="O814" s="11" t="n">
        <x:f aca="0">SUM(F814*1)</x:f>
        <x:v>0</x:v>
      </x:c>
      <x:c r="P814" s="11"/>
      <x:c r="Q814" s="11" t="str">
        <x:f aca="0">A814</x:f>
        <x:v>前抽牆</x:v>
      </x:c>
      <x:c r="R814" s="1" t="n">
        <x:f aca="0">SUM(C814*2)*F814</x:f>
        <x:v>0</x:v>
      </x:c>
      <x:c r="T814"/>
    </x:row>
    <x:row r="815" ht="22.200000762939453" hidden="0">
      <x:c r="A815" s="10" t="s">
        <x:v>27</x:v>
      </x:c>
      <x:c r="B815" s="10"/>
      <x:c r="C815" s="10"/>
      <x:c r="D815" s="10" t="n">
        <x:v>18</x:v>
      </x:c>
      <x:c r="E815" s="10"/>
      <x:c r="F815" s="10"/>
      <x:c r="G815" s="10"/>
      <x:c r="H815" s="10" t="n">
        <x:v>69</x:v>
      </x:c>
      <x:c r="I815" s="11" t="n">
        <x:f aca="0">ROUND((IF((B815*C815)/90000&lt;1,1))+IF((B815*C815)/90000&gt;=1,(B815*C815)/90000),1.1)</x:f>
        <x:v>1</x:v>
      </x:c>
      <x:c r="J815" s="11" t="n">
        <x:f aca="0">SUM(F815*I815)</x:f>
        <x:v>0</x:v>
      </x:c>
      <x:c r="K815" s="11" t="n">
        <x:f aca="0">SUM(H815*J815)</x:f>
        <x:v>0</x:v>
      </x:c>
      <x:c r="L815" s="11"/>
      <x:c r="M815" s="11" t="n">
        <x:f aca="0">SUM(C815)</x:f>
        <x:v>0</x:v>
      </x:c>
      <x:c r="N815" s="11" t="n">
        <x:f aca="0">SUM(B815-1)</x:f>
        <x:v>-1</x:v>
      </x:c>
      <x:c r="O815" s="11" t="n">
        <x:f aca="0">SUM(F815*1)</x:f>
        <x:v>0</x:v>
      </x:c>
      <x:c r="P815" s="11"/>
      <x:c r="Q815" s="11" t="str">
        <x:f aca="0">A815</x:f>
        <x:v>邊抽牆</x:v>
      </x:c>
      <x:c r="R815" s="1" t="n">
        <x:f aca="0">SUM(C815*2)*F815</x:f>
        <x:v>0</x:v>
      </x:c>
      <x:c r="T815"/>
    </x:row>
    <x:row r="816" ht="22.200000762939453" hidden="0">
      <x:c r="A816" s="10" t="s">
        <x:v>27</x:v>
      </x:c>
      <x:c r="B816" s="10"/>
      <x:c r="C816" s="10"/>
      <x:c r="D816" s="10" t="n">
        <x:v>18</x:v>
      </x:c>
      <x:c r="E816" s="10"/>
      <x:c r="F816" s="10"/>
      <x:c r="G816" s="10"/>
      <x:c r="H816" s="10" t="n">
        <x:v>69</x:v>
      </x:c>
      <x:c r="I816" s="11" t="n">
        <x:f aca="0">ROUND((IF((B816*C816)/90000&lt;1,1))+IF((B816*C816)/90000&gt;=1,(B816*C816)/90000),1.1)</x:f>
        <x:v>1</x:v>
      </x:c>
      <x:c r="J816" s="11" t="n">
        <x:f aca="0">SUM(F816*I816)</x:f>
        <x:v>0</x:v>
      </x:c>
      <x:c r="K816" s="11" t="n">
        <x:f aca="0">SUM(H816*J816)</x:f>
        <x:v>0</x:v>
      </x:c>
      <x:c r="L816" s="11"/>
      <x:c r="M816" s="11" t="n">
        <x:f aca="0">SUM(C816)</x:f>
        <x:v>0</x:v>
      </x:c>
      <x:c r="N816" s="11" t="n">
        <x:f aca="0">SUM(B816-1)</x:f>
        <x:v>-1</x:v>
      </x:c>
      <x:c r="O816" s="11" t="n">
        <x:f aca="0">SUM(F816*1)</x:f>
        <x:v>0</x:v>
      </x:c>
      <x:c r="P816" s="11"/>
      <x:c r="Q816" s="11" t="str">
        <x:f aca="0">A816</x:f>
        <x:v>邊抽牆</x:v>
      </x:c>
      <x:c r="R816" s="1" t="n">
        <x:f aca="0">SUM(C816*2)*F816</x:f>
        <x:v>0</x:v>
      </x:c>
      <x:c r="T816"/>
    </x:row>
    <x:row r="817" ht="22.200000762939453" hidden="0">
      <x:c r="A817" s="10" t="s">
        <x:v>28</x:v>
      </x:c>
      <x:c r="B817" s="10"/>
      <x:c r="C817" s="10"/>
      <x:c r="D817" s="10" t="n">
        <x:v>8</x:v>
      </x:c>
      <x:c r="E817" s="10"/>
      <x:c r="F817" s="10"/>
      <x:c r="G817" s="10"/>
      <x:c r="H817" s="10" t="n">
        <x:v>50</x:v>
      </x:c>
      <x:c r="I817" s="11" t="n">
        <x:f aca="0">ROUND((IF((B817*C817)/90000&lt;1,1))+IF((B817*C817)/90000&gt;=1,(B817*C817)/90000),1.1)</x:f>
        <x:v>1</x:v>
      </x:c>
      <x:c r="J817" s="11" t="n">
        <x:f aca="0">SUM(F817*I817)</x:f>
        <x:v>0</x:v>
      </x:c>
      <x:c r="K817" s="11" t="n">
        <x:f aca="0">SUM(H817*J817)</x:f>
        <x:v>0</x:v>
      </x:c>
      <x:c r="L817" s="11"/>
      <x:c r="M817" s="11" t="n">
        <x:f aca="0">SUM(C817)</x:f>
        <x:v>0</x:v>
      </x:c>
      <x:c r="N817" s="11" t="n">
        <x:f aca="0">SUM(B817)</x:f>
        <x:v>0</x:v>
      </x:c>
      <x:c r="O817" s="11" t="n">
        <x:f aca="0">SUM(F817*1)</x:f>
        <x:v>0</x:v>
      </x:c>
      <x:c r="P817" s="11"/>
      <x:c r="Q817" s="11" t="str">
        <x:f aca="0">A817</x:f>
        <x:v>抽底板</x:v>
      </x:c>
      <x:c r="T817"/>
    </x:row>
    <x:row r="818" ht="22.200000762939453" hidden="0">
      <x:c r="A818" s="10" t="s">
        <x:v>28</x:v>
      </x:c>
      <x:c r="B818" s="10"/>
      <x:c r="C818" s="10"/>
      <x:c r="D818" s="10" t="n">
        <x:v>8</x:v>
      </x:c>
      <x:c r="E818" s="10"/>
      <x:c r="F818" s="10"/>
      <x:c r="G818" s="10"/>
      <x:c r="H818" s="10" t="n">
        <x:v>50</x:v>
      </x:c>
      <x:c r="I818" s="11" t="n">
        <x:f aca="0">ROUND((IF((B818*C818)/90000&lt;1,1))+IF((B818*C818)/90000&gt;=1,(B818*C818)/90000),1.1)</x:f>
        <x:v>1</x:v>
      </x:c>
      <x:c r="J818" s="11" t="n">
        <x:f aca="0">SUM(F818*I818)</x:f>
        <x:v>0</x:v>
      </x:c>
      <x:c r="K818" s="11" t="n">
        <x:f aca="0">SUM(H818*J818)</x:f>
        <x:v>0</x:v>
      </x:c>
      <x:c r="L818" s="11"/>
      <x:c r="M818" s="11" t="n">
        <x:f aca="0">SUM(C818)</x:f>
        <x:v>0</x:v>
      </x:c>
      <x:c r="N818" s="11" t="n">
        <x:f aca="0">SUM(B818)</x:f>
        <x:v>0</x:v>
      </x:c>
      <x:c r="O818" s="11" t="n">
        <x:f aca="0">SUM(F818*1)</x:f>
        <x:v>0</x:v>
      </x:c>
      <x:c r="P818" s="11"/>
      <x:c r="Q818" s="11" t="str">
        <x:f aca="0">A818</x:f>
        <x:v>抽底板</x:v>
      </x:c>
      <x:c r="T818"/>
    </x:row>
    <x:row r="819" ht="22.200000762939453" hidden="0">
      <x:c r="A819" s="12" t="s">
        <x:v>64</x:v>
      </x:c>
      <x:c r="B819" s="10"/>
      <x:c r="C819" s="10"/>
      <x:c r="D819" s="10" t="n">
        <x:v>18</x:v>
      </x:c>
      <x:c r="E819" s="10"/>
      <x:c r="F819" s="10"/>
      <x:c r="G819" s="10"/>
      <x:c r="H819" s="10" t="n">
        <x:v>84</x:v>
      </x:c>
      <x:c r="I819" s="11" t="n">
        <x:f aca="0">ROUND((IF((B819*C819)/90000&lt;1,1))+IF((B819*C819)/90000&gt;=1,(B819*C819)/90000),1.1)</x:f>
        <x:v>1</x:v>
      </x:c>
      <x:c r="J819" s="11" t="n">
        <x:f aca="0">SUM(F819*I819)</x:f>
        <x:v>0</x:v>
      </x:c>
      <x:c r="K819" s="11" t="n">
        <x:f aca="0">SUM(H819*J819)</x:f>
        <x:v>0</x:v>
      </x:c>
      <x:c r="L819" s="11"/>
      <x:c r="M819" s="11" t="n">
        <x:f aca="0">SUM(C819-2)</x:f>
        <x:v>-2</x:v>
      </x:c>
      <x:c r="N819" s="11" t="n">
        <x:f aca="0">SUM(B819-2)</x:f>
        <x:v>-2</x:v>
      </x:c>
      <x:c r="O819" s="11" t="n">
        <x:f aca="0">SUM(F819*1)</x:f>
        <x:v>0</x:v>
      </x:c>
      <x:c r="P819" s="11"/>
      <x:c r="Q819" s="11" t="str">
        <x:f aca="0">A819</x:f>
        <x:v>4E門板</x:v>
      </x:c>
      <x:c r="S819" s="1" t="n">
        <x:f aca="0">SUM(B819*2+C819*2)*F819</x:f>
        <x:v>0</x:v>
      </x:c>
      <x:c r="T819"/>
    </x:row>
    <x:row r="820" ht="22.200000762939453" hidden="0">
      <x:c r="A820" s="12" t="s">
        <x:v>64</x:v>
      </x:c>
      <x:c r="B820" s="10"/>
      <x:c r="C820" s="10"/>
      <x:c r="D820" s="10" t="n">
        <x:v>18</x:v>
      </x:c>
      <x:c r="E820" s="10"/>
      <x:c r="F820" s="10"/>
      <x:c r="G820" s="10"/>
      <x:c r="H820" s="10" t="n">
        <x:v>84</x:v>
      </x:c>
      <x:c r="I820" s="11" t="n">
        <x:f aca="0">ROUND((IF((B820*C820)/90000&lt;1,1))+IF((B820*C820)/90000&gt;=1,(B820*C820)/90000),1.1)</x:f>
        <x:v>1</x:v>
      </x:c>
      <x:c r="J820" s="11" t="n">
        <x:f aca="0">SUM(F820*I820)</x:f>
        <x:v>0</x:v>
      </x:c>
      <x:c r="K820" s="11" t="n">
        <x:f aca="0">SUM(H820*J820)</x:f>
        <x:v>0</x:v>
      </x:c>
      <x:c r="L820" s="11"/>
      <x:c r="M820" s="11" t="n">
        <x:f aca="0">SUM(C820-2)</x:f>
        <x:v>-2</x:v>
      </x:c>
      <x:c r="N820" s="11" t="n">
        <x:f aca="0">SUM(B820-2)</x:f>
        <x:v>-2</x:v>
      </x:c>
      <x:c r="O820" s="11" t="n">
        <x:f aca="0">SUM(F820*1)</x:f>
        <x:v>0</x:v>
      </x:c>
      <x:c r="P820" s="11"/>
      <x:c r="Q820" s="11" t="str">
        <x:f aca="0">A820</x:f>
        <x:v>4E門板</x:v>
      </x:c>
      <x:c r="S820" s="1" t="n">
        <x:f aca="0">SUM(B820*2+C820*2)*F820</x:f>
        <x:v>0</x:v>
      </x:c>
      <x:c r="T820"/>
    </x:row>
    <x:row r="821" ht="22.200000762939453" hidden="0">
      <x:c r="A821" s="12" t="s">
        <x:v>64</x:v>
      </x:c>
      <x:c r="B821" s="10"/>
      <x:c r="C821" s="10"/>
      <x:c r="D821" s="10" t="n">
        <x:v>18</x:v>
      </x:c>
      <x:c r="E821" s="10"/>
      <x:c r="F821" s="10"/>
      <x:c r="G821" s="10"/>
      <x:c r="H821" s="10" t="n">
        <x:v>84</x:v>
      </x:c>
      <x:c r="I821" s="11" t="n">
        <x:f aca="0">ROUND((IF((B821*C821)/90000&lt;1,1))+IF((B821*C821)/90000&gt;=1,(B821*C821)/90000),1.1)</x:f>
        <x:v>1</x:v>
      </x:c>
      <x:c r="J821" s="11" t="n">
        <x:f aca="0">SUM(F821*I821)</x:f>
        <x:v>0</x:v>
      </x:c>
      <x:c r="K821" s="11" t="n">
        <x:f aca="0">SUM(H821*J821)</x:f>
        <x:v>0</x:v>
      </x:c>
      <x:c r="L821" s="11"/>
      <x:c r="M821" s="11" t="n">
        <x:f aca="0">SUM(C821-2)</x:f>
        <x:v>-2</x:v>
      </x:c>
      <x:c r="N821" s="11" t="n">
        <x:f aca="0">SUM(B821-2)</x:f>
        <x:v>-2</x:v>
      </x:c>
      <x:c r="O821" s="11" t="n">
        <x:f aca="0">SUM(F821*1)</x:f>
        <x:v>0</x:v>
      </x:c>
      <x:c r="P821" s="11"/>
      <x:c r="Q821" s="11" t="str">
        <x:f aca="0">A821</x:f>
        <x:v>4E門板</x:v>
      </x:c>
      <x:c r="S821" s="1" t="n">
        <x:f aca="0">SUM(B821*2+C821*2)*F821</x:f>
        <x:v>0</x:v>
      </x:c>
      <x:c r="T821"/>
    </x:row>
    <x:row r="822" ht="22.200000762939453" hidden="0">
      <x:c r="A822" s="10" t="s">
        <x:v>30</x:v>
      </x:c>
      <x:c r="B822" s="10"/>
      <x:c r="C822" s="10"/>
      <x:c r="D822" s="10" t="n">
        <x:v>18</x:v>
      </x:c>
      <x:c r="E822" s="10"/>
      <x:c r="F822" s="10"/>
      <x:c r="G822" s="10"/>
      <x:c r="H822" s="10" t="n">
        <x:v>84</x:v>
      </x:c>
      <x:c r="I822" s="11" t="n">
        <x:f aca="0">ROUND((IF((B822*C822)/90000&lt;1,1))+IF((B822*C822)/90000&gt;=1,(B822*C822)/90000),1.1)</x:f>
        <x:v>1</x:v>
      </x:c>
      <x:c r="J822" s="11" t="n">
        <x:f aca="0">SUM(F822*I822)</x:f>
        <x:v>0</x:v>
      </x:c>
      <x:c r="K822" s="11" t="n">
        <x:f aca="0">SUM(H822*J822)</x:f>
        <x:v>0</x:v>
      </x:c>
      <x:c r="L822" s="11"/>
      <x:c r="M822" s="11" t="n">
        <x:f aca="0">SUM(C822-2)</x:f>
        <x:v>-2</x:v>
      </x:c>
      <x:c r="N822" s="11" t="n">
        <x:f aca="0">SUM(B822-2)</x:f>
        <x:v>-2</x:v>
      </x:c>
      <x:c r="O822" s="11" t="n">
        <x:f aca="0">SUM(F822*1)</x:f>
        <x:v>0</x:v>
      </x:c>
      <x:c r="P822" s="11"/>
      <x:c r="Q822" s="11" t="str">
        <x:f aca="0">A822</x:f>
        <x:v>假門板</x:v>
      </x:c>
      <x:c r="S822" s="1" t="n">
        <x:f aca="0">SUM(B822*2+C822*2)*F822</x:f>
        <x:v>0</x:v>
      </x:c>
      <x:c r="T822"/>
    </x:row>
    <x:row r="823" ht="22.200000762939453" hidden="0">
      <x:c r="A823" s="10" t="s">
        <x:v>31</x:v>
      </x:c>
      <x:c r="B823" s="10"/>
      <x:c r="C823" s="10"/>
      <x:c r="D823" s="10" t="n">
        <x:v>18</x:v>
      </x:c>
      <x:c r="E823" s="10"/>
      <x:c r="F823" s="10"/>
      <x:c r="G823" s="10"/>
      <x:c r="H823" s="10" t="n">
        <x:v>84</x:v>
      </x:c>
      <x:c r="I823" s="11" t="n">
        <x:f aca="0">ROUND((IF((B823*C823)/90000&lt;1,1))+IF((B823*C823)/90000&gt;=1,(B823*C823)/90000),1.1)</x:f>
        <x:v>1</x:v>
      </x:c>
      <x:c r="J823" s="11" t="n">
        <x:f aca="0">SUM(F823*I823)</x:f>
        <x:v>0</x:v>
      </x:c>
      <x:c r="K823" s="11" t="n">
        <x:f aca="0">SUM(H823*J823)</x:f>
        <x:v>0</x:v>
      </x:c>
      <x:c r="L823" s="11"/>
      <x:c r="M823" s="11" t="n">
        <x:f aca="0">SUM(C823-2)</x:f>
        <x:v>-2</x:v>
      </x:c>
      <x:c r="N823" s="11" t="n">
        <x:f aca="0">SUM(B823-2)</x:f>
        <x:v>-2</x:v>
      </x:c>
      <x:c r="O823" s="11" t="n">
        <x:f aca="0">SUM(F823*1)</x:f>
        <x:v>0</x:v>
      </x:c>
      <x:c r="P823" s="11"/>
      <x:c r="Q823" s="11" t="str">
        <x:f aca="0">A823</x:f>
        <x:v>屜頭</x:v>
      </x:c>
      <x:c r="S823" s="1" t="n">
        <x:f aca="0">SUM(B823*2+C823*2)*F823</x:f>
        <x:v>0</x:v>
      </x:c>
      <x:c r="T823"/>
    </x:row>
    <x:row r="824" ht="22.200000762939453" hidden="0">
      <x:c r="A824" s="10" t="s">
        <x:v>32</x:v>
      </x:c>
      <x:c r="B824" s="10"/>
      <x:c r="C824" s="10"/>
      <x:c r="D824" s="10" t="n">
        <x:v>18</x:v>
      </x:c>
      <x:c r="E824" s="10"/>
      <x:c r="F824" s="10"/>
      <x:c r="G824" s="10"/>
      <x:c r="H824" s="10" t="n">
        <x:v>74</x:v>
      </x:c>
      <x:c r="I824" s="11" t="n">
        <x:f aca="0">ROUND((IF((B824*C824)/90000&lt;1,1))+IF((B824*C824)/90000&gt;=1,(B824*C824)/90000),1.1)</x:f>
        <x:v>1</x:v>
      </x:c>
      <x:c r="J824" s="11" t="n">
        <x:f aca="0">SUM(F824*I824)</x:f>
        <x:v>0</x:v>
      </x:c>
      <x:c r="K824" s="11" t="n">
        <x:f aca="0">SUM(H824*J824)</x:f>
        <x:v>0</x:v>
      </x:c>
      <x:c r="L824" s="11"/>
      <x:c r="M824" s="11" t="n">
        <x:f aca="0">SUM(C824-1)</x:f>
        <x:v>-1</x:v>
      </x:c>
      <x:c r="N824" s="11" t="n">
        <x:f aca="0">SUM(B824)</x:f>
        <x:v>0</x:v>
      </x:c>
      <x:c r="O824" s="11" t="n">
        <x:f aca="0">SUM(F824*1)</x:f>
        <x:v>0</x:v>
      </x:c>
      <x:c r="P824" s="11"/>
      <x:c r="Q824" s="11" t="str">
        <x:f aca="0">A824</x:f>
        <x:v>推門</x:v>
      </x:c>
      <x:c r="R824" s="1" t="n">
        <x:f aca="0">SUM(B824*2+C824*2)*F824</x:f>
        <x:v>0</x:v>
      </x:c>
      <x:c r="T824"/>
    </x:row>
    <x:row r="825" ht="22.200000762939453" hidden="0">
      <x:c r="A825" s="10" t="s">
        <x:v>33</x:v>
      </x:c>
      <x:c r="B825" s="10"/>
      <x:c r="C825" s="10"/>
      <x:c r="D825" s="10" t="n">
        <x:v>18</x:v>
      </x:c>
      <x:c r="E825" s="10"/>
      <x:c r="F825" s="10"/>
      <x:c r="G825" s="10"/>
      <x:c r="H825" s="10" t="n">
        <x:v>74</x:v>
      </x:c>
      <x:c r="I825" s="11" t="n">
        <x:f aca="0">ROUND((IF((B825*C825)/90000&lt;1,1))+IF((B825*C825)/90000&gt;=1,(B825*C825)/90000),1.1)</x:f>
        <x:v>1</x:v>
      </x:c>
      <x:c r="J825" s="11" t="n">
        <x:f aca="0">SUM(F825*I825)</x:f>
        <x:v>0</x:v>
      </x:c>
      <x:c r="K825" s="11" t="n">
        <x:f aca="0">SUM(H825*J825)</x:f>
        <x:v>0</x:v>
      </x:c>
      <x:c r="L825" s="11"/>
      <x:c r="M825" s="11" t="n">
        <x:f aca="0">SUM(C825)</x:f>
        <x:v>0</x:v>
      </x:c>
      <x:c r="N825" s="11" t="n">
        <x:f aca="0">SUM(B825-1)</x:f>
        <x:v>-1</x:v>
      </x:c>
      <x:c r="O825" s="11" t="n">
        <x:f aca="0">SUM(F825*1)</x:f>
        <x:v>0</x:v>
      </x:c>
      <x:c r="P825" s="11"/>
      <x:c r="Q825" s="11" t="str">
        <x:f aca="0">A825</x:f>
        <x:v>側封板</x:v>
      </x:c>
      <x:c r="R825" s="1" t="n">
        <x:f aca="0">SUM(+C825*1)*F825</x:f>
        <x:v>0</x:v>
      </x:c>
      <x:c r="S825" s="1" t="n">
        <x:f aca="0">SUM(C825*1)*F825</x:f>
        <x:v>0</x:v>
      </x:c>
      <x:c r="T825"/>
    </x:row>
    <x:row r="826" ht="22.200000762939453" hidden="0">
      <x:c r="A826" s="10" t="s">
        <x:v>33</x:v>
      </x:c>
      <x:c r="B826" s="10"/>
      <x:c r="C826" s="10"/>
      <x:c r="D826" s="10" t="n">
        <x:v>18</x:v>
      </x:c>
      <x:c r="E826" s="10"/>
      <x:c r="F826" s="10"/>
      <x:c r="G826" s="10"/>
      <x:c r="H826" s="10" t="n">
        <x:v>74</x:v>
      </x:c>
      <x:c r="I826" s="11" t="n">
        <x:f aca="0">ROUND((IF((B826*C826)/90000&lt;1,1))+IF((B826*C826)/90000&gt;=1,(B826*C826)/90000),1.1)</x:f>
        <x:v>1</x:v>
      </x:c>
      <x:c r="J826" s="11" t="n">
        <x:f aca="0">SUM(F826*I826)</x:f>
        <x:v>0</x:v>
      </x:c>
      <x:c r="K826" s="11" t="n">
        <x:f aca="0">SUM(H826*J826)</x:f>
        <x:v>0</x:v>
      </x:c>
      <x:c r="L826" s="11"/>
      <x:c r="M826" s="11" t="n">
        <x:f aca="0">SUM(C826)</x:f>
        <x:v>0</x:v>
      </x:c>
      <x:c r="N826" s="11" t="n">
        <x:f aca="0">SUM(B826-1)</x:f>
        <x:v>-1</x:v>
      </x:c>
      <x:c r="O826" s="11" t="n">
        <x:f aca="0">SUM(F826*1)</x:f>
        <x:v>0</x:v>
      </x:c>
      <x:c r="P826" s="11"/>
      <x:c r="Q826" s="11" t="str">
        <x:f aca="0">A826</x:f>
        <x:v>側封板</x:v>
      </x:c>
      <x:c r="R826" s="1" t="n">
        <x:f aca="0">SUM(+C826*1)*F826</x:f>
        <x:v>0</x:v>
      </x:c>
      <x:c r="S826" s="1" t="n">
        <x:f aca="0">SUM(C826*1)*F826</x:f>
        <x:v>0</x:v>
      </x:c>
      <x:c r="T826"/>
    </x:row>
    <x:row r="827" ht="22.200000762939453" hidden="0">
      <x:c r="A827" s="10" t="s">
        <x:v>34</x:v>
      </x:c>
      <x:c r="B827" s="10"/>
      <x:c r="C827" s="10"/>
      <x:c r="D827" s="10" t="n">
        <x:v>18</x:v>
      </x:c>
      <x:c r="E827" s="10"/>
      <x:c r="F827" s="10"/>
      <x:c r="G827" s="10"/>
      <x:c r="H827" s="10" t="n">
        <x:v>74</x:v>
      </x:c>
      <x:c r="I827" s="11" t="n">
        <x:f aca="0">ROUND((IF((B827*C827)/90000&lt;1,1))+IF((B827*C827)/90000&gt;=1,(B827*C827)/90000),1.1)</x:f>
        <x:v>1</x:v>
      </x:c>
      <x:c r="J827" s="11" t="n">
        <x:f aca="0">SUM(F827*I827)</x:f>
        <x:v>0</x:v>
      </x:c>
      <x:c r="K827" s="11" t="n">
        <x:f aca="0">SUM(H827*J827)</x:f>
        <x:v>0</x:v>
      </x:c>
      <x:c r="L827" s="11"/>
      <x:c r="M827" s="11" t="n">
        <x:f aca="0">SUM(C827)</x:f>
        <x:v>0</x:v>
      </x:c>
      <x:c r="N827" s="11" t="n">
        <x:f aca="0">SUM(B827-1)</x:f>
        <x:v>-1</x:v>
      </x:c>
      <x:c r="O827" s="11" t="n">
        <x:f aca="0">SUM(F827*1)</x:f>
        <x:v>0</x:v>
      </x:c>
      <x:c r="P827" s="11"/>
      <x:c r="Q827" s="11" t="str">
        <x:f aca="0">A827</x:f>
        <x:v>軌道板</x:v>
      </x:c>
      <x:c r="R827" s="1" t="n">
        <x:f aca="0">SUM(+C827*1)*F827</x:f>
        <x:v>0</x:v>
      </x:c>
      <x:c r="S827" s="1" t="n">
        <x:f aca="0">SUM(C827*1)*F827</x:f>
        <x:v>0</x:v>
      </x:c>
      <x:c r="T827"/>
    </x:row>
    <x:row r="828" ht="22.200000762939453" hidden="0">
      <x:c r="A828" s="10" t="s">
        <x:v>34</x:v>
      </x:c>
      <x:c r="B828" s="10"/>
      <x:c r="C828" s="10"/>
      <x:c r="D828" s="10" t="n">
        <x:v>18</x:v>
      </x:c>
      <x:c r="E828" s="10"/>
      <x:c r="F828" s="10"/>
      <x:c r="G828" s="10"/>
      <x:c r="H828" s="10" t="n">
        <x:v>74</x:v>
      </x:c>
      <x:c r="I828" s="11" t="n">
        <x:f aca="0">ROUND((IF((B828*C828)/90000&lt;1,1))+IF((B828*C828)/90000&gt;=1,(B828*C828)/90000),1.1)</x:f>
        <x:v>1</x:v>
      </x:c>
      <x:c r="J828" s="11" t="n">
        <x:f aca="0">SUM(F828*I828)</x:f>
        <x:v>0</x:v>
      </x:c>
      <x:c r="K828" s="11" t="n">
        <x:f aca="0">SUM(H828*J828)</x:f>
        <x:v>0</x:v>
      </x:c>
      <x:c r="L828" s="11"/>
      <x:c r="M828" s="11" t="n">
        <x:f aca="0">SUM(C828)</x:f>
        <x:v>0</x:v>
      </x:c>
      <x:c r="N828" s="11" t="n">
        <x:f aca="0">SUM(B828-1)</x:f>
        <x:v>-1</x:v>
      </x:c>
      <x:c r="O828" s="11" t="n">
        <x:f aca="0">SUM(F828*1)</x:f>
        <x:v>0</x:v>
      </x:c>
      <x:c r="P828" s="11"/>
      <x:c r="Q828" s="11" t="str">
        <x:f aca="0">A828</x:f>
        <x:v>軌道板</x:v>
      </x:c>
      <x:c r="R828" s="1" t="n">
        <x:f aca="0">SUM(+C828*1)*F828</x:f>
        <x:v>0</x:v>
      </x:c>
      <x:c r="S828" s="1" t="n">
        <x:f aca="0">SUM(C828*1)*F828</x:f>
        <x:v>0</x:v>
      </x:c>
      <x:c r="T828"/>
    </x:row>
    <x:row r="829" ht="22.200000762939453" hidden="0">
      <x:c r="A829" s="10" t="s">
        <x:v>35</x:v>
      </x:c>
      <x:c r="B829" s="10"/>
      <x:c r="C829" s="10"/>
      <x:c r="D829" s="10" t="n">
        <x:v>18</x:v>
      </x:c>
      <x:c r="E829" s="10"/>
      <x:c r="F829" s="10"/>
      <x:c r="G829" s="10"/>
      <x:c r="H829" s="10" t="n">
        <x:v>69</x:v>
      </x:c>
      <x:c r="I829" s="11" t="n">
        <x:f aca="0">ROUND((IF((B829*C829)/90000&lt;1,1))+IF((B829*C829)/90000&gt;=1,(B829*C829)/90000),1.1)</x:f>
        <x:v>1</x:v>
      </x:c>
      <x:c r="J829" s="11" t="n">
        <x:f aca="0">SUM(F829*I829)</x:f>
        <x:v>0</x:v>
      </x:c>
      <x:c r="K829" s="11" t="n">
        <x:f aca="0">SUM(H829*J829)</x:f>
        <x:v>0</x:v>
      </x:c>
      <x:c r="L829" s="11"/>
      <x:c r="M829" s="11" t="n">
        <x:f aca="0">SUM(C829)</x:f>
        <x:v>0</x:v>
      </x:c>
      <x:c r="N829" s="11" t="n">
        <x:f aca="0">SUM(B829-1)</x:f>
        <x:v>-1</x:v>
      </x:c>
      <x:c r="O829" s="11" t="n">
        <x:f aca="0">SUM(F829*1)</x:f>
        <x:v>0</x:v>
      </x:c>
      <x:c r="P829" s="11"/>
      <x:c r="Q829" s="11" t="str">
        <x:f aca="0">A829</x:f>
        <x:v>擋板</x:v>
      </x:c>
      <x:c r="R829" s="1" t="n">
        <x:f aca="0">SUM(C829*2)*F829</x:f>
        <x:v>0</x:v>
      </x:c>
      <x:c r="T829"/>
    </x:row>
    <x:row r="830" ht="22.200000762939453" hidden="0">
      <x:c r="A830" s="10" t="s">
        <x:v>35</x:v>
      </x:c>
      <x:c r="B830" s="10"/>
      <x:c r="C830" s="10"/>
      <x:c r="D830" s="10" t="n">
        <x:v>18</x:v>
      </x:c>
      <x:c r="E830" s="10"/>
      <x:c r="F830" s="10"/>
      <x:c r="G830" s="10"/>
      <x:c r="H830" s="10" t="n">
        <x:v>69</x:v>
      </x:c>
      <x:c r="I830" s="11" t="n">
        <x:f aca="0">ROUND((IF((B830*C830)/90000&lt;1,1))+IF((B830*C830)/90000&gt;=1,(B830*C830)/90000),1.1)</x:f>
        <x:v>1</x:v>
      </x:c>
      <x:c r="J830" s="11" t="n">
        <x:f aca="0">SUM(F830*I830)</x:f>
        <x:v>0</x:v>
      </x:c>
      <x:c r="K830" s="11" t="n">
        <x:f aca="0">SUM(H830*J830)</x:f>
        <x:v>0</x:v>
      </x:c>
      <x:c r="L830" s="11"/>
      <x:c r="M830" s="11" t="n">
        <x:f aca="0">SUM(C830)</x:f>
        <x:v>0</x:v>
      </x:c>
      <x:c r="N830" s="11" t="n">
        <x:f aca="0">SUM(B830-1)</x:f>
        <x:v>-1</x:v>
      </x:c>
      <x:c r="O830" s="11" t="n">
        <x:f aca="0">SUM(F830*1)</x:f>
        <x:v>0</x:v>
      </x:c>
      <x:c r="P830" s="11"/>
      <x:c r="Q830" s="11" t="str">
        <x:f aca="0">A830</x:f>
        <x:v>擋板</x:v>
      </x:c>
      <x:c r="R830" s="1" t="n">
        <x:f aca="0">SUM(C830*2)*F830</x:f>
        <x:v>0</x:v>
      </x:c>
      <x:c r="T830"/>
    </x:row>
    <x:row r="831" ht="22.200000762939453" hidden="0">
      <x:c r="A831" s="10" t="s">
        <x:v>36</x:v>
      </x:c>
      <x:c r="B831" s="10"/>
      <x:c r="C831" s="10"/>
      <x:c r="D831" s="10" t="n">
        <x:v>8</x:v>
      </x:c>
      <x:c r="E831" s="10"/>
      <x:c r="F831" s="10"/>
      <x:c r="G831" s="10"/>
      <x:c r="H831" s="10" t="n">
        <x:v>69</x:v>
      </x:c>
      <x:c r="I831" s="11" t="n">
        <x:f aca="0">ROUND((IF((B831*C831)/90000&lt;1,1))+IF((B831*C831)/90000&gt;=1,(B831*C831)/90000),1.1)</x:f>
        <x:v>1</x:v>
      </x:c>
      <x:c r="J831" s="11" t="n">
        <x:f aca="0">SUM(F831*I831)</x:f>
        <x:v>0</x:v>
      </x:c>
      <x:c r="K831" s="11" t="n">
        <x:f aca="0">SUM(H831*J831)</x:f>
        <x:v>0</x:v>
      </x:c>
      <x:c r="L831" s="11"/>
      <x:c r="M831" s="11" t="n">
        <x:f aca="0">SUM(C831)</x:f>
        <x:v>0</x:v>
      </x:c>
      <x:c r="N831" s="11" t="n">
        <x:f aca="0">SUM(B831-1)</x:f>
        <x:v>-1</x:v>
      </x:c>
      <x:c r="O831" s="11" t="n">
        <x:f aca="0">SUM(F831*1)</x:f>
        <x:v>0</x:v>
      </x:c>
      <x:c r="P831" s="11"/>
      <x:c r="Q831" s="11" t="str">
        <x:f aca="0">A831</x:f>
        <x:v>襯板</x:v>
      </x:c>
      <x:c r="R831" s="1" t="n">
        <x:f aca="0">SUM(C831*2)*F831</x:f>
        <x:v>0</x:v>
      </x:c>
      <x:c r="T831"/>
    </x:row>
    <x:row r="832" ht="22.200000762939453" hidden="0">
      <x:c r="A832" s="10" t="s">
        <x:v>36</x:v>
      </x:c>
      <x:c r="B832" s="10"/>
      <x:c r="C832" s="10"/>
      <x:c r="D832" s="10" t="n">
        <x:v>8</x:v>
      </x:c>
      <x:c r="E832" s="10"/>
      <x:c r="F832" s="10"/>
      <x:c r="G832" s="10"/>
      <x:c r="H832" s="10" t="n">
        <x:v>69</x:v>
      </x:c>
      <x:c r="I832" s="11" t="n">
        <x:f aca="0">ROUND((IF((B832*C832)/90000&lt;1,1))+IF((B832*C832)/90000&gt;=1,(B832*C832)/90000),1.1)</x:f>
        <x:v>1</x:v>
      </x:c>
      <x:c r="J832" s="11" t="n">
        <x:f aca="0">SUM(F832*I832)</x:f>
        <x:v>0</x:v>
      </x:c>
      <x:c r="K832" s="11" t="n">
        <x:f aca="0">SUM(H832*J832)</x:f>
        <x:v>0</x:v>
      </x:c>
      <x:c r="L832" s="11"/>
      <x:c r="M832" s="11" t="n">
        <x:f aca="0">SUM(C832)</x:f>
        <x:v>0</x:v>
      </x:c>
      <x:c r="N832" s="11" t="n">
        <x:f aca="0">SUM(B832-1)</x:f>
        <x:v>-1</x:v>
      </x:c>
      <x:c r="O832" s="11" t="n">
        <x:f aca="0">SUM(F832*1)</x:f>
        <x:v>0</x:v>
      </x:c>
      <x:c r="P832" s="11"/>
      <x:c r="Q832" s="11" t="str">
        <x:f aca="0">A832</x:f>
        <x:v>襯板</x:v>
      </x:c>
      <x:c r="R832" s="1" t="n">
        <x:f aca="0">SUM(C832*2)*F832</x:f>
        <x:v>0</x:v>
      </x:c>
      <x:c r="T832"/>
    </x:row>
    <x:row r="833" ht="22.200000762939453" hidden="0">
      <x:c r="A833" s="10" t="s">
        <x:v>37</x:v>
      </x:c>
      <x:c r="B833" s="10"/>
      <x:c r="C833" s="10"/>
      <x:c r="D833" s="10" t="n">
        <x:v>8</x:v>
      </x:c>
      <x:c r="E833" s="10"/>
      <x:c r="F833" s="10"/>
      <x:c r="G833" s="10"/>
      <x:c r="H833" s="10" t="n">
        <x:v>50</x:v>
      </x:c>
      <x:c r="I833" s="11" t="n">
        <x:f aca="0">ROUND((IF((B833*C833)/90000&lt;1,1))+IF((B833*C833)/90000&gt;=1,(B833*C833)/90000),1.1)</x:f>
        <x:v>1</x:v>
      </x:c>
      <x:c r="J833" s="11" t="n">
        <x:f aca="0">SUM(F833*I833)</x:f>
        <x:v>0</x:v>
      </x:c>
      <x:c r="K833" s="11" t="n">
        <x:f aca="0">SUM(H833*J833)</x:f>
        <x:v>0</x:v>
      </x:c>
      <x:c r="L833" s="11"/>
      <x:c r="M833" s="11" t="n">
        <x:f aca="0">SUM(C833)</x:f>
        <x:v>0</x:v>
      </x:c>
      <x:c r="N833" s="11" t="n">
        <x:f aca="0">SUM(B833)</x:f>
        <x:v>0</x:v>
      </x:c>
      <x:c r="O833" s="11" t="n">
        <x:f aca="0">SUM(F833*1)</x:f>
        <x:v>0</x:v>
      </x:c>
      <x:c r="P833" s="11"/>
      <x:c r="Q833" s="11" t="str">
        <x:f aca="0">A833</x:f>
        <x:v>背板</x:v>
      </x:c>
      <x:c r="T833"/>
    </x:row>
    <x:row r="834" ht="22.200000762939453" hidden="0">
      <x:c r="A834" s="10" t="s">
        <x:v>37</x:v>
      </x:c>
      <x:c r="B834" s="10"/>
      <x:c r="C834" s="10"/>
      <x:c r="D834" s="10" t="n">
        <x:v>8</x:v>
      </x:c>
      <x:c r="E834" s="10"/>
      <x:c r="F834" s="10"/>
      <x:c r="G834" s="10"/>
      <x:c r="H834" s="10" t="n">
        <x:v>50</x:v>
      </x:c>
      <x:c r="I834" s="11" t="n">
        <x:f aca="0">ROUND((IF((B834*C834)/90000&lt;1,1))+IF((B834*C834)/90000&gt;=1,(B834*C834)/90000),1.1)</x:f>
        <x:v>1</x:v>
      </x:c>
      <x:c r="J834" s="11" t="n">
        <x:f aca="0">SUM(F834*I834)</x:f>
        <x:v>0</x:v>
      </x:c>
      <x:c r="K834" s="11" t="n">
        <x:f aca="0">SUM(H834*J834)</x:f>
        <x:v>0</x:v>
      </x:c>
      <x:c r="L834" s="11"/>
      <x:c r="M834" s="11" t="n">
        <x:f aca="0">SUM(C834)</x:f>
        <x:v>0</x:v>
      </x:c>
      <x:c r="N834" s="11" t="n">
        <x:f aca="0">SUM(B834)</x:f>
        <x:v>0</x:v>
      </x:c>
      <x:c r="O834" s="11" t="n">
        <x:f aca="0">SUM(F834*1)</x:f>
        <x:v>0</x:v>
      </x:c>
      <x:c r="P834" s="11"/>
      <x:c r="Q834" s="11" t="str">
        <x:f aca="0">A834</x:f>
        <x:v>背板</x:v>
      </x:c>
      <x:c r="T834"/>
    </x:row>
    <x:row r="835" ht="22.200000762939453" hidden="0">
      <x:c r="A835" s="10" t="s">
        <x:v>37</x:v>
      </x:c>
      <x:c r="B835" s="10"/>
      <x:c r="C835" s="10"/>
      <x:c r="D835" s="10" t="n">
        <x:v>8</x:v>
      </x:c>
      <x:c r="E835" s="10"/>
      <x:c r="F835" s="10"/>
      <x:c r="G835" s="10"/>
      <x:c r="H835" s="10" t="n">
        <x:v>50</x:v>
      </x:c>
      <x:c r="I835" s="11" t="n">
        <x:f aca="0">ROUND((IF((B835*C835)/90000&lt;1,1))+IF((B835*C835)/90000&gt;=1,(B835*C835)/90000),1.1)</x:f>
        <x:v>1</x:v>
      </x:c>
      <x:c r="J835" s="11" t="n">
        <x:f aca="0">SUM(F835*I835)</x:f>
        <x:v>0</x:v>
      </x:c>
      <x:c r="K835" s="11" t="n">
        <x:f aca="0">SUM(H835*J835)</x:f>
        <x:v>0</x:v>
      </x:c>
      <x:c r="L835" s="11"/>
      <x:c r="M835" s="11" t="n">
        <x:f aca="0">SUM(C835)</x:f>
        <x:v>0</x:v>
      </x:c>
      <x:c r="N835" s="11" t="n">
        <x:f aca="0">SUM(B835)</x:f>
        <x:v>0</x:v>
      </x:c>
      <x:c r="O835" s="11" t="n">
        <x:f aca="0">SUM(F835*1)</x:f>
        <x:v>0</x:v>
      </x:c>
      <x:c r="P835" s="11"/>
      <x:c r="Q835" s="11" t="str">
        <x:f aca="0">A835</x:f>
        <x:v>背板</x:v>
      </x:c>
      <x:c r="T835"/>
    </x:row>
    <x:row r="836" ht="22.200000762939453" hidden="0">
      <x:c r="A836" s="10" t="s">
        <x:v>37</x:v>
      </x:c>
      <x:c r="B836" s="10"/>
      <x:c r="C836" s="10"/>
      <x:c r="D836" s="10" t="n">
        <x:v>8</x:v>
      </x:c>
      <x:c r="E836" s="10"/>
      <x:c r="F836" s="10"/>
      <x:c r="G836" s="10"/>
      <x:c r="H836" s="10" t="n">
        <x:v>50</x:v>
      </x:c>
      <x:c r="I836" s="11" t="n">
        <x:f aca="0">ROUND((IF((B836*C836)/90000&lt;1,1))+IF((B836*C836)/90000&gt;=1,(B836*C836)/90000),1.1)</x:f>
        <x:v>1</x:v>
      </x:c>
      <x:c r="J836" s="11" t="n">
        <x:f aca="0">SUM(F836*I836)</x:f>
        <x:v>0</x:v>
      </x:c>
      <x:c r="K836" s="11" t="n">
        <x:f aca="0">SUM(H836*J836)</x:f>
        <x:v>0</x:v>
      </x:c>
      <x:c r="L836" s="11"/>
      <x:c r="M836" s="11" t="n">
        <x:f aca="0">SUM(C836)</x:f>
        <x:v>0</x:v>
      </x:c>
      <x:c r="N836" s="11" t="n">
        <x:f aca="0">SUM(B836)</x:f>
        <x:v>0</x:v>
      </x:c>
      <x:c r="O836" s="11" t="n">
        <x:f aca="0">SUM(F836*1)</x:f>
        <x:v>0</x:v>
      </x:c>
      <x:c r="P836" s="11"/>
      <x:c r="Q836" s="11" t="str">
        <x:f aca="0">A836</x:f>
        <x:v>背板</x:v>
      </x:c>
      <x:c r="T836"/>
    </x:row>
    <x:row r="837" ht="22.200000762939453" hidden="0">
      <x:c r="A837" s="10" t="s">
        <x:v>37</x:v>
      </x:c>
      <x:c r="B837" s="10"/>
      <x:c r="C837" s="10"/>
      <x:c r="D837" s="10" t="n">
        <x:v>8</x:v>
      </x:c>
      <x:c r="E837" s="10"/>
      <x:c r="F837" s="10"/>
      <x:c r="G837" s="10"/>
      <x:c r="H837" s="10" t="n">
        <x:v>50</x:v>
      </x:c>
      <x:c r="I837" s="11" t="n">
        <x:f aca="0">ROUND((IF((B837*C837)/90000&lt;1,1))+IF((B837*C837)/90000&gt;=1,(B837*C837)/90000),1.1)</x:f>
        <x:v>1</x:v>
      </x:c>
      <x:c r="J837" s="11" t="n">
        <x:f aca="0">SUM(F837*I837)</x:f>
        <x:v>0</x:v>
      </x:c>
      <x:c r="K837" s="11" t="n">
        <x:f aca="0">SUM(H837*J837)</x:f>
        <x:v>0</x:v>
      </x:c>
      <x:c r="L837" s="11"/>
      <x:c r="M837" s="11" t="n">
        <x:f aca="0">SUM(C837)</x:f>
        <x:v>0</x:v>
      </x:c>
      <x:c r="N837" s="11" t="n">
        <x:f aca="0">SUM(B837)</x:f>
        <x:v>0</x:v>
      </x:c>
      <x:c r="O837" s="11" t="n">
        <x:f aca="0">SUM(F837*1)</x:f>
        <x:v>0</x:v>
      </x:c>
      <x:c r="P837" s="11"/>
      <x:c r="Q837" s="11" t="str">
        <x:f aca="0">A837</x:f>
        <x:v>背板</x:v>
      </x:c>
      <x:c r="T837"/>
    </x:row>
    <x:row r="838" ht="22.200000762939453" hidden="0">
      <x:c r="A838" s="10" t="s">
        <x:v>38</x:v>
      </x:c>
      <x:c r="B838" s="10"/>
      <x:c r="C838" s="10"/>
      <x:c r="D838" s="10" t="n">
        <x:v>18</x:v>
      </x:c>
      <x:c r="E838" s="10"/>
      <x:c r="F838" s="10"/>
      <x:c r="G838" s="10"/>
      <x:c r="H838" s="10" t="n">
        <x:v>50</x:v>
      </x:c>
      <x:c r="I838" s="11" t="n">
        <x:f aca="0">ROUND((IF((B838*C838)/90000&lt;1,1))+IF((B838*C838)/90000&gt;=1,(B838*C838)/90000),1.1)</x:f>
        <x:v>1</x:v>
      </x:c>
      <x:c r="J838" s="11" t="n">
        <x:f aca="0">SUM(F838*I838)</x:f>
        <x:v>0</x:v>
      </x:c>
      <x:c r="K838" s="11" t="n">
        <x:f aca="0">SUM(H838*J838)</x:f>
        <x:v>0</x:v>
      </x:c>
      <x:c r="L838" s="11"/>
      <x:c r="M838" s="11" t="n">
        <x:f aca="0">SUM(C838)</x:f>
        <x:v>0</x:v>
      </x:c>
      <x:c r="N838" s="11" t="n">
        <x:f aca="0">SUM(B838)</x:f>
        <x:v>0</x:v>
      </x:c>
      <x:c r="O838" s="11" t="n">
        <x:f aca="0">SUM(F838*1)</x:f>
        <x:v>0</x:v>
      </x:c>
      <x:c r="P838" s="11"/>
      <x:c r="Q838" s="11" t="str">
        <x:f aca="0">A838</x:f>
        <x:v>踢腳板</x:v>
      </x:c>
      <x:c r="R838" s="1" t="n">
        <x:f aca="0">SUM(C838*1)*F838</x:f>
        <x:v>0</x:v>
      </x:c>
      <x:c r="T838"/>
    </x:row>
    <x:row r="839" ht="22.200000762939453" hidden="0">
      <x:c r="A839" s="10" t="s">
        <x:v>39</x:v>
      </x:c>
      <x:c r="B839" s="10"/>
      <x:c r="C839" s="10"/>
      <x:c r="D839" s="10" t="n">
        <x:v>25</x:v>
      </x:c>
      <x:c r="E839" s="10"/>
      <x:c r="F839" s="10"/>
      <x:c r="G839" s="10"/>
      <x:c r="H839" s="10" t="n">
        <x:v>126</x:v>
      </x:c>
      <x:c r="I839" s="11" t="n">
        <x:f aca="0">ROUND((IF((B839*C839)/90000&lt;1,1))+IF((B839*C839)/90000&gt;=1,(B839*C839)/90000),1.1)</x:f>
        <x:v>1</x:v>
      </x:c>
      <x:c r="J839" s="11" t="n">
        <x:f aca="0">SUM(F839*I839)</x:f>
        <x:v>0</x:v>
      </x:c>
      <x:c r="K839" s="11" t="n">
        <x:f aca="0">SUM(H839*J839)</x:f>
        <x:v>0</x:v>
      </x:c>
      <x:c r="L839" s="11"/>
      <x:c r="M839" s="11" t="n">
        <x:f aca="0">SUM(C839)</x:f>
        <x:v>0</x:v>
      </x:c>
      <x:c r="N839" s="11" t="n">
        <x:f aca="0">SUM(B839-1)</x:f>
        <x:v>-1</x:v>
      </x:c>
      <x:c r="O839" s="11" t="n">
        <x:f aca="0">SUM(F839*1)</x:f>
        <x:v>0</x:v>
      </x:c>
      <x:c r="P839" s="11"/>
      <x:c r="Q839" s="11" t="str">
        <x:f aca="0">A839</x:f>
        <x:v>檯面</x:v>
      </x:c>
      <x:c r="S839" s="1" t="n">
        <x:f aca="0">SUM(B839*2+C839*1)*F839</x:f>
        <x:v>0</x:v>
      </x:c>
      <x:c r="T839"/>
    </x:row>
    <x:row r="840" ht="22.200000762939453" hidden="0">
      <x:c r="A840" s="10" t="s">
        <x:v>40</x:v>
      </x:c>
      <x:c r="B840" s="10"/>
      <x:c r="C840" s="10"/>
      <x:c r="D840" s="10" t="n">
        <x:v>18</x:v>
      </x:c>
      <x:c r="E840" s="10"/>
      <x:c r="F840" s="10"/>
      <x:c r="G840" s="10"/>
      <x:c r="H840" s="10" t="n">
        <x:v>65</x:v>
      </x:c>
      <x:c r="I840" s="11" t="n">
        <x:f aca="0">ROUND((IF((B840*C840)/90000&lt;1,1))+IF((B840*C840)/90000&gt;=1,(B840*C840)/90000),1.1)</x:f>
        <x:v>1</x:v>
      </x:c>
      <x:c r="J840" s="11" t="n">
        <x:f aca="0">SUM(F840*I840)</x:f>
        <x:v>0</x:v>
      </x:c>
      <x:c r="K840" s="11" t="n">
        <x:f aca="0">SUM(H840*J840)</x:f>
        <x:v>0</x:v>
      </x:c>
      <x:c r="L840" s="11"/>
      <x:c r="M840" s="11" t="n">
        <x:f aca="0">SUM(C840)</x:f>
        <x:v>0</x:v>
      </x:c>
      <x:c r="N840" s="11" t="n">
        <x:f aca="0">SUM(B840)</x:f>
        <x:v>0</x:v>
      </x:c>
      <x:c r="O840" s="11" t="n">
        <x:f aca="0">SUM(F840*1)</x:f>
        <x:v>0</x:v>
      </x:c>
      <x:c r="P840" s="11"/>
      <x:c r="Q840" s="11" t="str">
        <x:f aca="0">A840</x:f>
        <x:v>背條</x:v>
      </x:c>
      <x:c r="T840"/>
    </x:row>
    <x:row r="841" ht="22.200000762939453" hidden="0">
      <x:c r="A841" s="10" t="s">
        <x:v>40</x:v>
      </x:c>
      <x:c r="B841" s="10"/>
      <x:c r="C841" s="10"/>
      <x:c r="D841" s="10" t="n">
        <x:v>18</x:v>
      </x:c>
      <x:c r="E841" s="10"/>
      <x:c r="F841" s="10"/>
      <x:c r="G841" s="10"/>
      <x:c r="H841" s="10" t="n">
        <x:v>65</x:v>
      </x:c>
      <x:c r="I841" s="11" t="n">
        <x:f aca="0">ROUND((IF((B841*C841)/90000&lt;1,1))+IF((B841*C841)/90000&gt;=1,(B841*C841)/90000),1.1)</x:f>
        <x:v>1</x:v>
      </x:c>
      <x:c r="J841" s="11" t="n">
        <x:f aca="0">SUM(F841*I841)</x:f>
        <x:v>0</x:v>
      </x:c>
      <x:c r="K841" s="11" t="n">
        <x:f aca="0">SUM(H841*J841)</x:f>
        <x:v>0</x:v>
      </x:c>
      <x:c r="L841" s="11"/>
      <x:c r="M841" s="11" t="n">
        <x:f aca="0">SUM(C841)</x:f>
        <x:v>0</x:v>
      </x:c>
      <x:c r="N841" s="11" t="n">
        <x:f aca="0">SUM(B841)</x:f>
        <x:v>0</x:v>
      </x:c>
      <x:c r="O841" s="11" t="n">
        <x:f aca="0">SUM(F841*1)</x:f>
        <x:v>0</x:v>
      </x:c>
      <x:c r="P841" s="11"/>
      <x:c r="Q841" s="11" t="str">
        <x:f aca="0">A841</x:f>
        <x:v>背條</x:v>
      </x:c>
      <x:c r="T841"/>
    </x:row>
    <x:row r="842" ht="22.200000762939453" hidden="0">
      <x:c r="A842" s="10" t="s">
        <x:v>40</x:v>
      </x:c>
      <x:c r="B842" s="10"/>
      <x:c r="C842" s="10"/>
      <x:c r="D842" s="10" t="n">
        <x:v>18</x:v>
      </x:c>
      <x:c r="E842" s="10"/>
      <x:c r="F842" s="10"/>
      <x:c r="G842" s="10"/>
      <x:c r="H842" s="10" t="n">
        <x:v>65</x:v>
      </x:c>
      <x:c r="I842" s="11" t="n">
        <x:f aca="0">ROUND((IF((B842*C842)/90000&lt;1,1))+IF((B842*C842)/90000&gt;=1,(B842*C842)/90000),1.1)</x:f>
        <x:v>1</x:v>
      </x:c>
      <x:c r="J842" s="11" t="n">
        <x:f aca="0">SUM(F842*I842)</x:f>
        <x:v>0</x:v>
      </x:c>
      <x:c r="K842" s="11" t="n">
        <x:f aca="0">SUM(H842*J842)</x:f>
        <x:v>0</x:v>
      </x:c>
      <x:c r="L842" s="11"/>
      <x:c r="M842" s="11" t="n">
        <x:f aca="0">SUM(C842)</x:f>
        <x:v>0</x:v>
      </x:c>
      <x:c r="N842" s="11" t="n">
        <x:f aca="0">SUM(B842)</x:f>
        <x:v>0</x:v>
      </x:c>
      <x:c r="O842" s="11" t="n">
        <x:f aca="0">SUM(F842*1)</x:f>
        <x:v>0</x:v>
      </x:c>
      <x:c r="P842" s="11"/>
      <x:c r="Q842" s="11" t="str">
        <x:f aca="0">A842</x:f>
        <x:v>背條</x:v>
      </x:c>
      <x:c r="T842"/>
    </x:row>
    <x:row r="843" ht="22.200000762939453" hidden="0">
      <x:c r="A843" s="10" t="s">
        <x:v>40</x:v>
      </x:c>
      <x:c r="B843" s="10"/>
      <x:c r="C843" s="10"/>
      <x:c r="D843" s="10" t="n">
        <x:v>18</x:v>
      </x:c>
      <x:c r="E843" s="10"/>
      <x:c r="F843" s="10"/>
      <x:c r="G843" s="10"/>
      <x:c r="H843" s="10" t="n">
        <x:v>65</x:v>
      </x:c>
      <x:c r="I843" s="11" t="n">
        <x:f aca="0">ROUND((IF((B843*C843)/90000&lt;1,1))+IF((B843*C843)/90000&gt;=1,(B843*C843)/90000),1.1)</x:f>
        <x:v>1</x:v>
      </x:c>
      <x:c r="J843" s="11" t="n">
        <x:f aca="0">SUM(F843*I843)</x:f>
        <x:v>0</x:v>
      </x:c>
      <x:c r="K843" s="11" t="n">
        <x:f aca="0">SUM(H843*J843)</x:f>
        <x:v>0</x:v>
      </x:c>
      <x:c r="L843" s="11"/>
      <x:c r="M843" s="11" t="n">
        <x:f aca="0">SUM(C843)</x:f>
        <x:v>0</x:v>
      </x:c>
      <x:c r="N843" s="11" t="n">
        <x:f aca="0">SUM(B843)</x:f>
        <x:v>0</x:v>
      </x:c>
      <x:c r="O843" s="11" t="n">
        <x:f aca="0">SUM(F843*1)</x:f>
        <x:v>0</x:v>
      </x:c>
      <x:c r="P843" s="11"/>
      <x:c r="Q843" s="11" t="str">
        <x:f aca="0">A843</x:f>
        <x:v>背條</x:v>
      </x:c>
      <x:c r="T843"/>
    </x:row>
    <x:row r="844" ht="22.200000762939453" hidden="0">
      <x:c r="A844" s="12" t="s">
        <x:v>41</x:v>
      </x:c>
      <x:c r="B844" s="10"/>
      <x:c r="C844" s="10"/>
      <x:c r="D844" s="10"/>
      <x:c r="E844" s="10"/>
      <x:c r="F844" s="10"/>
      <x:c r="G844" s="10"/>
      <x:c r="H844" s="10" t="n">
        <x:v>11</x:v>
      </x:c>
      <x:c r="I844" s="11"/>
      <x:c r="J844" s="11"/>
      <x:c r="K844" s="11" t="n">
        <x:f aca="0">SUM(F844*H844)</x:f>
        <x:v>0</x:v>
      </x:c>
      <x:c r="L844" s="11"/>
      <x:c r="M844" s="11"/>
      <x:c r="N844" s="11"/>
      <x:c r="O844" s="11"/>
      <x:c r="P844" s="11"/>
      <x:c r="Q844" s="11"/>
      <x:c r="T844"/>
    </x:row>
    <x:row r="845" ht="22.200000762939453" hidden="0">
      <x:c r="A845" s="12" t="s">
        <x:v>42</x:v>
      </x:c>
      <x:c r="B845" s="10"/>
      <x:c r="C845" s="10"/>
      <x:c r="D845" s="10"/>
      <x:c r="E845" s="10"/>
      <x:c r="F845" s="10"/>
      <x:c r="G845" s="10"/>
      <x:c r="H845" s="10" t="n">
        <x:v>9</x:v>
      </x:c>
      <x:c r="I845" s="11"/>
      <x:c r="J845" s="11"/>
      <x:c r="K845" s="11" t="n">
        <x:f aca="0">SUM(F845*H845)</x:f>
        <x:v>0</x:v>
      </x:c>
      <x:c r="L845" s="11"/>
      <x:c r="M845" s="11"/>
      <x:c r="N845" s="11"/>
      <x:c r="O845" s="11"/>
      <x:c r="P845" s="11"/>
      <x:c r="Q845" s="11"/>
      <x:c r="R845" s="9"/>
      <x:c r="S845" s="13"/>
      <x:c r="T845"/>
    </x:row>
    <x:row r="846" ht="22.200000762939453" hidden="0">
      <x:c r="A846" s="10" t="s">
        <x:v>43</x:v>
      </x:c>
      <x:c r="B846" s="10"/>
      <x:c r="C846" s="10"/>
      <x:c r="D846" s="10"/>
      <x:c r="E846" s="10"/>
      <x:c r="F846" s="10"/>
      <x:c r="G846" s="10"/>
      <x:c r="H846" s="10" t="n">
        <x:v>1</x:v>
      </x:c>
      <x:c r="I846" s="11"/>
      <x:c r="J846" s="11"/>
      <x:c r="K846" s="11" t="n">
        <x:f aca="0">SUM(F846*H846)</x:f>
        <x:v>0</x:v>
      </x:c>
      <x:c r="L846" s="11"/>
      <x:c r="M846" s="11"/>
      <x:c r="N846" s="11"/>
      <x:c r="O846" s="11"/>
      <x:c r="P846" s="11"/>
      <x:c r="Q846" s="11"/>
      <x:c r="T846"/>
    </x:row>
    <x:row r="847" ht="22.200000762939453" hidden="0">
      <x:c r="A847" s="10" t="s">
        <x:v>44</x:v>
      </x:c>
      <x:c r="B847" s="10"/>
      <x:c r="C847" s="10"/>
      <x:c r="D847" s="10"/>
      <x:c r="E847" s="10"/>
      <x:c r="F847" s="10"/>
      <x:c r="G847" s="10"/>
      <x:c r="H847" s="10" t="n">
        <x:v>11</x:v>
      </x:c>
      <x:c r="I847" s="11"/>
      <x:c r="J847" s="11"/>
      <x:c r="K847" s="11" t="n">
        <x:f aca="0">SUM(F847*H847)</x:f>
        <x:v>0</x:v>
      </x:c>
      <x:c r="L847" s="11"/>
      <x:c r="M847" s="11"/>
      <x:c r="N847" s="11"/>
      <x:c r="O847" s="11"/>
      <x:c r="P847" s="11"/>
      <x:c r="Q847" s="11"/>
      <x:c r="T847"/>
    </x:row>
    <x:row r="848" ht="22.200000762939453" hidden="0">
      <x:c r="A848" s="10" t="s">
        <x:v>45</x:v>
      </x:c>
      <x:c r="B848" s="10"/>
      <x:c r="C848" s="10"/>
      <x:c r="D848" s="10"/>
      <x:c r="E848" s="10"/>
      <x:c r="F848" s="10"/>
      <x:c r="G848" s="10"/>
      <x:c r="H848" s="10" t="n">
        <x:v>7</x:v>
      </x:c>
      <x:c r="I848" s="11"/>
      <x:c r="J848" s="11"/>
      <x:c r="K848" s="11" t="n">
        <x:f aca="0">SUM(F848*H848)</x:f>
        <x:v>0</x:v>
      </x:c>
      <x:c r="L848" s="11"/>
      <x:c r="M848" s="11"/>
      <x:c r="N848" s="11"/>
      <x:c r="O848" s="11"/>
      <x:c r="P848" s="11"/>
      <x:c r="Q848" s="11"/>
      <x:c r="T848"/>
    </x:row>
    <x:row r="849" ht="22.200000762939453" hidden="0">
      <x:c r="A849" s="12" t="s">
        <x:v>65</x:v>
      </x:c>
      <x:c r="B849" s="10"/>
      <x:c r="C849" s="10"/>
      <x:c r="D849" s="10"/>
      <x:c r="E849" s="10"/>
      <x:c r="F849" s="10"/>
      <x:c r="G849" s="10"/>
      <x:c r="H849" s="10" t="n">
        <x:v>50</x:v>
      </x:c>
      <x:c r="I849" s="11"/>
      <x:c r="J849" s="11"/>
      <x:c r="K849" s="11" t="n">
        <x:f aca="0">SUM(F849*H849)</x:f>
        <x:v>0</x:v>
      </x:c>
      <x:c r="L849" s="11"/>
      <x:c r="M849" s="11"/>
      <x:c r="N849" s="11"/>
      <x:c r="O849" s="11"/>
      <x:c r="P849" s="11"/>
      <x:c r="Q849" s="11"/>
      <x:c r="T849"/>
    </x:row>
    <x:row r="850" ht="22.200000762939453" hidden="0">
      <x:c r="A850" s="10" t="s">
        <x:v>47</x:v>
      </x:c>
      <x:c r="B850" s="10"/>
      <x:c r="C850" s="10"/>
      <x:c r="D850" s="10"/>
      <x:c r="E850" s="10"/>
      <x:c r="F850" s="10"/>
      <x:c r="G850" s="10"/>
      <x:c r="H850" s="10" t="n">
        <x:v>90</x:v>
      </x:c>
      <x:c r="I850" s="11"/>
      <x:c r="J850" s="11"/>
      <x:c r="K850" s="11" t="n">
        <x:f aca="0">SUM(F850*H850)</x:f>
        <x:v>0</x:v>
      </x:c>
      <x:c r="L850" s="11"/>
      <x:c r="M850" s="11"/>
      <x:c r="N850" s="11"/>
      <x:c r="O850" s="11"/>
      <x:c r="P850" s="11"/>
      <x:c r="Q850" s="11"/>
      <x:c r="T850"/>
    </x:row>
    <x:row r="851" ht="22.200000762939453" hidden="0">
      <x:c r="A851" s="10" t="s">
        <x:v>48</x:v>
      </x:c>
      <x:c r="B851" s="10"/>
      <x:c r="C851" s="10"/>
      <x:c r="D851" s="10"/>
      <x:c r="E851" s="10"/>
      <x:c r="F851" s="10"/>
      <x:c r="G851" s="10"/>
      <x:c r="H851" s="10" t="n">
        <x:v>275</x:v>
      </x:c>
      <x:c r="I851" s="11"/>
      <x:c r="J851" s="11"/>
      <x:c r="K851" s="11" t="n">
        <x:f aca="0">SUM(F851*H851)</x:f>
        <x:v>0</x:v>
      </x:c>
      <x:c r="L851" s="11"/>
      <x:c r="M851" s="11"/>
      <x:c r="N851" s="11"/>
      <x:c r="O851" s="11"/>
      <x:c r="P851" s="11"/>
      <x:c r="Q851" s="11"/>
      <x:c r="T851"/>
    </x:row>
    <x:row r="852" ht="22.200000762939453" hidden="0">
      <x:c r="A852" s="12" t="s">
        <x:v>49</x:v>
      </x:c>
      <x:c r="B852" s="10"/>
      <x:c r="C852" s="10"/>
      <x:c r="D852" s="10"/>
      <x:c r="E852" s="10"/>
      <x:c r="F852" s="10"/>
      <x:c r="G852" s="10"/>
      <x:c r="H852" s="10" t="n">
        <x:v>165</x:v>
      </x:c>
      <x:c r="I852" s="11"/>
      <x:c r="J852" s="11"/>
      <x:c r="K852" s="11" t="n">
        <x:f aca="0">SUM(F852*H852)</x:f>
        <x:v>0</x:v>
      </x:c>
      <x:c r="L852" s="11"/>
      <x:c r="M852" s="11"/>
      <x:c r="N852" s="11"/>
      <x:c r="O852" s="11"/>
      <x:c r="P852" s="11"/>
      <x:c r="Q852" s="11"/>
      <x:c r="T852"/>
    </x:row>
    <x:row r="853" ht="22.200000762939453" hidden="0">
      <x:c r="A853" s="12" t="s">
        <x:v>50</x:v>
      </x:c>
      <x:c r="B853" s="10"/>
      <x:c r="C853" s="10"/>
      <x:c r="D853" s="10"/>
      <x:c r="E853" s="10"/>
      <x:c r="F853" s="10"/>
      <x:c r="G853" s="10"/>
      <x:c r="H853" s="10"/>
      <x:c r="I853" s="11"/>
      <x:c r="J853" s="11"/>
      <x:c r="K853" s="11" t="n">
        <x:f aca="0">SUM(F853*H853)</x:f>
        <x:v>0</x:v>
      </x:c>
      <x:c r="L853" s="11"/>
      <x:c r="M853" s="11"/>
      <x:c r="N853" s="11"/>
      <x:c r="O853" s="11"/>
      <x:c r="P853" s="11"/>
      <x:c r="Q853" s="11"/>
      <x:c r="T853"/>
    </x:row>
    <x:row r="854" ht="22.200000762939453" hidden="0">
      <x:c r="A854" s="12" t="s">
        <x:v>51</x:v>
      </x:c>
      <x:c r="B854" s="10"/>
      <x:c r="C854" s="10"/>
      <x:c r="D854" s="10"/>
      <x:c r="E854" s="10"/>
      <x:c r="F854" s="10"/>
      <x:c r="G854" s="10"/>
      <x:c r="H854" s="10"/>
      <x:c r="I854" s="11"/>
      <x:c r="J854" s="11"/>
      <x:c r="K854" s="11" t="n">
        <x:f aca="0">SUM(F854*H854)</x:f>
        <x:v>0</x:v>
      </x:c>
      <x:c r="L854" s="11"/>
      <x:c r="M854" s="11"/>
      <x:c r="N854" s="11"/>
      <x:c r="O854" s="11"/>
      <x:c r="P854" s="11"/>
      <x:c r="Q854" s="11"/>
      <x:c r="T854"/>
    </x:row>
    <x:row r="855" ht="22.200000762939453" hidden="0">
      <x:c r="A855" s="12" t="s">
        <x:v>52</x:v>
      </x:c>
      <x:c r="B855" s="10"/>
      <x:c r="C855" s="10"/>
      <x:c r="D855" s="10"/>
      <x:c r="E855" s="10"/>
      <x:c r="F855" s="10"/>
      <x:c r="G855" s="10"/>
      <x:c r="H855" s="10"/>
      <x:c r="I855" s="11"/>
      <x:c r="J855" s="11"/>
      <x:c r="K855" s="11" t="n">
        <x:f aca="0">SUM(F855*H855)</x:f>
        <x:v>0</x:v>
      </x:c>
      <x:c r="L855" s="11"/>
      <x:c r="M855" s="11"/>
      <x:c r="N855" s="11"/>
      <x:c r="O855" s="11"/>
      <x:c r="P855" s="11"/>
      <x:c r="Q855" s="11"/>
      <x:c r="T855"/>
    </x:row>
    <x:row r="856" ht="22.200000762939453" hidden="0">
      <x:c r="A856" s="12" t="s">
        <x:v>53</x:v>
      </x:c>
      <x:c r="B856" s="10"/>
      <x:c r="C856" s="10"/>
      <x:c r="D856" s="10"/>
      <x:c r="E856" s="10"/>
      <x:c r="F856" s="10"/>
      <x:c r="G856" s="10"/>
      <x:c r="H856" s="10" t="n">
        <x:v>66</x:v>
      </x:c>
      <x:c r="I856" s="11"/>
      <x:c r="J856" s="11"/>
      <x:c r="K856" s="11" t="n">
        <x:f aca="0">SUM(F856*H856)</x:f>
        <x:v>0</x:v>
      </x:c>
      <x:c r="L856" s="11"/>
      <x:c r="M856" s="11"/>
      <x:c r="N856" s="11"/>
      <x:c r="O856" s="11"/>
      <x:c r="P856" s="11"/>
      <x:c r="Q856" s="11"/>
      <x:c r="T856"/>
    </x:row>
    <x:row r="857" ht="22.200000762939453" hidden="0">
      <x:c r="A857" s="10" t="s">
        <x:v>54</x:v>
      </x:c>
      <x:c r="B857" s="10"/>
      <x:c r="C857" s="10"/>
      <x:c r="D857" s="10"/>
      <x:c r="E857" s="10"/>
      <x:c r="F857" s="10"/>
      <x:c r="G857" s="10"/>
      <x:c r="H857" s="10" t="n">
        <x:v>220</x:v>
      </x:c>
      <x:c r="I857" s="11"/>
      <x:c r="J857" s="11"/>
      <x:c r="K857" s="11" t="n">
        <x:f aca="0">SUM(F857*H857)</x:f>
        <x:v>0</x:v>
      </x:c>
      <x:c r="L857" s="11"/>
      <x:c r="M857" s="11"/>
      <x:c r="N857" s="11"/>
      <x:c r="O857" s="11"/>
      <x:c r="P857" s="11"/>
      <x:c r="Q857" s="11"/>
      <x:c r="T857"/>
    </x:row>
    <x:row r="858" ht="22.200000762939453" hidden="0">
      <x:c r="A858" s="12" t="s">
        <x:v>55</x:v>
      </x:c>
      <x:c r="B858" s="10"/>
      <x:c r="C858" s="10"/>
      <x:c r="D858" s="10"/>
      <x:c r="E858" s="10"/>
      <x:c r="F858" s="10"/>
      <x:c r="G858" s="10"/>
      <x:c r="H858" s="10"/>
      <x:c r="I858" s="11"/>
      <x:c r="J858" s="11"/>
      <x:c r="K858" s="11" t="n">
        <x:f aca="0">SUM(F858*H858)</x:f>
        <x:v>0</x:v>
      </x:c>
      <x:c r="L858" s="11"/>
      <x:c r="M858" s="11"/>
      <x:c r="N858" s="11"/>
      <x:c r="O858" s="11"/>
      <x:c r="P858" s="11"/>
      <x:c r="Q858" s="11"/>
      <x:c r="T858"/>
    </x:row>
    <x:row r="859" ht="22.200000762939453" hidden="0">
      <x:c r="A859" s="10" t="s">
        <x:v>56</x:v>
      </x:c>
      <x:c r="B859" s="10"/>
      <x:c r="C859" s="10"/>
      <x:c r="D859" s="10"/>
      <x:c r="E859" s="10"/>
      <x:c r="F859" s="10"/>
      <x:c r="G859" s="10"/>
      <x:c r="H859" s="10" t="n">
        <x:v>800</x:v>
      </x:c>
      <x:c r="I859" s="11"/>
      <x:c r="J859" s="11"/>
      <x:c r="K859" s="11" t="n">
        <x:f aca="0">SUM(F859*H859)</x:f>
        <x:v>0</x:v>
      </x:c>
      <x:c r="L859" s="11"/>
      <x:c r="M859" s="11"/>
      <x:c r="N859" s="11"/>
      <x:c r="O859" s="11"/>
      <x:c r="P859" s="11"/>
      <x:c r="Q859" s="11"/>
      <x:c r="T859"/>
    </x:row>
    <x:row r="860" ht="22.200000762939453" hidden="0">
      <x:c r="A860" s="10" t="s">
        <x:v>57</x:v>
      </x:c>
      <x:c r="B860" s="10"/>
      <x:c r="C860" s="10"/>
      <x:c r="D860" s="10"/>
      <x:c r="E860" s="10"/>
      <x:c r="F860" s="10"/>
      <x:c r="G860" s="10"/>
      <x:c r="H860" s="10" t="n">
        <x:v>200</x:v>
      </x:c>
      <x:c r="I860" s="11"/>
      <x:c r="J860" s="11"/>
      <x:c r="K860" s="11" t="n">
        <x:f aca="0">SUM(F860*H860)</x:f>
        <x:v>0</x:v>
      </x:c>
      <x:c r="L860" s="11"/>
      <x:c r="M860" s="11"/>
      <x:c r="N860" s="11"/>
      <x:c r="O860" s="11"/>
      <x:c r="P860" s="11"/>
      <x:c r="Q860" s="11"/>
      <x:c r="T860"/>
    </x:row>
    <x:row r="861" ht="22.200000762939453" hidden="0">
      <x:c r="A861" s="10" t="s">
        <x:v>58</x:v>
      </x:c>
      <x:c r="B861" s="10"/>
      <x:c r="C861" s="10"/>
      <x:c r="D861" s="10"/>
      <x:c r="E861" s="10"/>
      <x:c r="F861" s="10"/>
      <x:c r="G861" s="10"/>
      <x:c r="H861" s="10" t="n">
        <x:v>150</x:v>
      </x:c>
      <x:c r="I861" s="11"/>
      <x:c r="J861" s="11"/>
      <x:c r="K861" s="11" t="n">
        <x:f aca="0">SUM(F861*H861)</x:f>
        <x:v>0</x:v>
      </x:c>
      <x:c r="L861" s="11"/>
      <x:c r="M861" s="11"/>
      <x:c r="N861" s="11"/>
      <x:c r="O861" s="11"/>
      <x:c r="P861" s="11"/>
      <x:c r="Q861" s="11"/>
      <x:c r="T861"/>
    </x:row>
    <x:row r="862" ht="22.200000762939453" hidden="0">
      <x:c r="A862" s="10" t="s">
        <x:v>59</x:v>
      </x:c>
      <x:c r="B862" s="10"/>
      <x:c r="C862" s="10"/>
      <x:c r="D862" s="10"/>
      <x:c r="E862" s="10"/>
      <x:c r="F862" s="10"/>
      <x:c r="G862" s="10"/>
      <x:c r="H862" s="10" t="n">
        <x:v>34</x:v>
      </x:c>
      <x:c r="I862" s="11"/>
      <x:c r="J862" s="11"/>
      <x:c r="K862" s="11" t="n">
        <x:f aca="0">SUM(F862*H862)</x:f>
        <x:v>0</x:v>
      </x:c>
      <x:c r="L862" s="11"/>
      <x:c r="M862" s="11"/>
      <x:c r="N862" s="11"/>
      <x:c r="O862" s="11"/>
      <x:c r="P862" s="11"/>
      <x:c r="Q862" s="11"/>
      <x:c r="T862"/>
    </x:row>
    <x:row r="863" ht="22.200000762939453" hidden="0">
      <x:c r="A863" s="10" t="s">
        <x:v>60</x:v>
      </x:c>
      <x:c r="B863" s="10"/>
      <x:c r="C863" s="10"/>
      <x:c r="D863" s="10"/>
      <x:c r="E863" s="10"/>
      <x:c r="F863" s="10"/>
      <x:c r="G863" s="10"/>
      <x:c r="H863" s="10" t="n">
        <x:v>6</x:v>
      </x:c>
      <x:c r="I863" s="11"/>
      <x:c r="J863" s="11"/>
      <x:c r="K863" s="11" t="n">
        <x:f aca="0">SUM(F863*H863)</x:f>
        <x:v>0</x:v>
      </x:c>
      <x:c r="L863" s="11"/>
      <x:c r="M863" s="11"/>
      <x:c r="N863" s="11"/>
      <x:c r="O863" s="11"/>
      <x:c r="P863" s="11"/>
      <x:c r="Q863" s="11"/>
      <x:c r="T863"/>
    </x:row>
    <x:row r="864" ht="22.200000762939453" hidden="0">
      <x:c r="A864" s="10" t="s">
        <x:v>61</x:v>
      </x:c>
      <x:c r="B864" s="10"/>
      <x:c r="C864" s="10"/>
      <x:c r="D864" s="10"/>
      <x:c r="E864" s="10"/>
      <x:c r="F864" s="10"/>
      <x:c r="G864" s="10"/>
      <x:c r="H864" s="10" t="n">
        <x:v>670</x:v>
      </x:c>
      <x:c r="I864" s="11"/>
      <x:c r="J864" s="11"/>
      <x:c r="K864" s="11" t="n">
        <x:f aca="0">SUM(F864*H864)</x:f>
        <x:v>0</x:v>
      </x:c>
      <x:c r="L864" s="11"/>
      <x:c r="M864" s="11"/>
      <x:c r="N864" s="11"/>
      <x:c r="O864" s="11"/>
      <x:c r="P864" s="11"/>
      <x:c r="Q864" s="11"/>
      <x:c r="T864"/>
    </x:row>
    <x:row r="865" ht="22.200000762939453" hidden="0">
      <x:c r="A865" s="10" t="s">
        <x:v>62</x:v>
      </x:c>
      <x:c r="B865" s="10"/>
      <x:c r="C865" s="10"/>
      <x:c r="D865" s="10"/>
      <x:c r="E865" s="10"/>
      <x:c r="F865" s="10"/>
      <x:c r="G865" s="10"/>
      <x:c r="H865" s="10" t="n">
        <x:v>110</x:v>
      </x:c>
      <x:c r="I865" s="11"/>
      <x:c r="J865" s="11"/>
      <x:c r="K865" s="11" t="n">
        <x:f aca="0">SUM(F865*H865)</x:f>
        <x:v>0</x:v>
      </x:c>
      <x:c r="L865" s="11"/>
      <x:c r="M865" s="11"/>
      <x:c r="N865" s="11"/>
      <x:c r="O865" s="11"/>
      <x:c r="P865" s="11"/>
      <x:c r="Q865" s="11"/>
      <x:c r="T865"/>
    </x:row>
    <x:row r="866" ht="22.200000762939453" hidden="0">
      <x:c r="A866" s="10" t="s">
        <x:v>63</x:v>
      </x:c>
      <x:c r="B866" s="10"/>
      <x:c r="C866" s="10"/>
      <x:c r="D866" s="10"/>
      <x:c r="E866" s="10"/>
      <x:c r="F866" s="10"/>
      <x:c r="G866" s="10"/>
      <x:c r="H866" s="10"/>
      <x:c r="I866" s="11"/>
      <x:c r="J866" s="11"/>
      <x:c r="K866" s="11" t="n">
        <x:f aca="0">SUM(F866*H866)</x:f>
        <x:v>0</x:v>
      </x:c>
      <x:c r="L866" s="11"/>
      <x:c r="M866" s="11"/>
      <x:c r="N866" s="11"/>
      <x:c r="O866" s="11"/>
      <x:c r="P866" s="11"/>
      <x:c r="Q866" s="11"/>
      <x:c r="T866"/>
    </x:row>
    <x:row r="867" ht="22.200000762939453" hidden="0">
      <x:c r="A867" s="10"/>
      <x:c r="B867" s="10"/>
      <x:c r="C867" s="10"/>
      <x:c r="D867" s="10"/>
      <x:c r="E867" s="10"/>
      <x:c r="F867" s="10"/>
      <x:c r="G867" s="10"/>
      <x:c r="H867" s="10"/>
      <x:c r="I867" s="11"/>
      <x:c r="J867" s="11"/>
      <x:c r="K867" s="11" t="n">
        <x:f aca="0">SUM(F867*H867)</x:f>
        <x:v>0</x:v>
      </x:c>
      <x:c r="L867" s="11"/>
      <x:c r="M867" s="11"/>
      <x:c r="N867" s="11"/>
      <x:c r="O867" s="11"/>
      <x:c r="P867" s="11"/>
      <x:c r="Q867" s="11"/>
      <x:c r="T867"/>
    </x:row>
    <x:row r="868" ht="22.200000762939453" hidden="0">
      <x:c r="A868" s="15"/>
      <x:c r="B868" s="15"/>
      <x:c r="C868" s="15"/>
      <x:c r="D868" s="15"/>
      <x:c r="E868" s="15"/>
      <x:c r="F868" s="15"/>
      <x:c r="G868" s="15"/>
      <x:c r="H868" s="15"/>
      <x:c r="I868" s="11" t="n">
        <x:f aca="0">SUM(B868*C868)/90000</x:f>
        <x:v>0</x:v>
      </x:c>
      <x:c r="J868" s="15" t="s">
        <x:v>17</x:v>
      </x:c>
      <x:c r="K868" s="16" t="n">
        <x:f aca="0">SUM(K795:K867)</x:f>
        <x:v>0</x:v>
      </x:c>
      <x:c r="L868" s="16" t="n">
        <x:f aca="0">SUM(K868*1.35)</x:f>
        <x:v>0</x:v>
      </x:c>
      <x:c r="M868" s="16"/>
      <x:c r="N868" s="16" t="n">
        <x:f aca="0">SUM(M868*1.25)</x:f>
        <x:v>0</x:v>
      </x:c>
      <x:c r="O868" s="16"/>
      <x:c r="P868" s="16"/>
      <x:c r="Q868" s="16"/>
      <x:c r="T868"/>
    </x:row>
    <x:row r="873" ht="22.200000762939453" hidden="0">
      <x:c r="A873" s="5"/>
      <x:c r="B873" s="5"/>
      <x:c r="C873" s="5"/>
      <x:c r="D873" s="5"/>
      <x:c r="E873" s="5"/>
      <x:c r="F873" s="5"/>
      <x:c r="G873" s="6"/>
      <x:c r="H873" s="5"/>
      <x:c r="I873" s="3"/>
      <x:c r="J873" s="3"/>
      <x:c r="K873" s="4"/>
      <x:c r="L873" s="4"/>
      <x:c r="M873" s="4"/>
      <x:c r="N873" s="4"/>
      <x:c r="O873" s="4"/>
      <x:c r="P873" s="4"/>
      <x:c r="Q873" s="4"/>
      <x:c r="R873" s="4"/>
    </x:row>
    <x:row r="874" ht="22.200000762939453" hidden="0">
      <x:c r="A874" s="7" t="s">
        <x:v>3</x:v>
      </x:c>
      <x:c r="B874" s="8" t="s">
        <x:v>4</x:v>
      </x:c>
      <x:c r="C874" s="8"/>
      <x:c r="D874" s="7" t="s">
        <x:v>5</x:v>
      </x:c>
      <x:c r="E874" s="7"/>
      <x:c r="F874" s="7" t="s">
        <x:v>6</x:v>
      </x:c>
      <x:c r="G874" s="7"/>
      <x:c r="H874" s="7" t="s">
        <x:v>7</x:v>
      </x:c>
      <x:c r="I874" s="7" t="s">
        <x:v>8</x:v>
      </x:c>
      <x:c r="J874" s="7" t="s">
        <x:v>9</x:v>
      </x:c>
      <x:c r="K874" s="7" t="s">
        <x:v>10</x:v>
      </x:c>
      <x:c r="L874" s="7"/>
      <x:c r="M874" s="7" t="s">
        <x:v>11</x:v>
      </x:c>
      <x:c r="N874" s="7" t="s">
        <x:v>12</x:v>
      </x:c>
      <x:c r="O874" s="7" t="s">
        <x:v>6</x:v>
      </x:c>
      <x:c r="P874" s="7" t="s">
        <x:v>13</x:v>
      </x:c>
      <x:c r="Q874" s="7" t="s">
        <x:v>14</x:v>
      </x:c>
      <x:c r="R874" s="9" t="s">
        <x:v>15</x:v>
      </x:c>
      <x:c r="S874" s="9" t="s">
        <x:v>16</x:v>
      </x:c>
      <x:c r="T874"/>
    </x:row>
    <x:row r="875" ht="22.200000762939453" hidden="0">
      <x:c r="A875" s="10" t="s">
        <x:v>18</x:v>
      </x:c>
      <x:c r="B875" s="10"/>
      <x:c r="C875" s="10"/>
      <x:c r="D875" s="10" t="n">
        <x:v>18</x:v>
      </x:c>
      <x:c r="E875" s="10"/>
      <x:c r="F875" s="10"/>
      <x:c r="G875" s="10"/>
      <x:c r="H875" s="10" t="n">
        <x:v>69</x:v>
      </x:c>
      <x:c r="I875" s="11" t="n">
        <x:f aca="0">ROUND((IF((B875*C875)/90000&lt;1,1))+IF((B875*C875)/90000&gt;=1,(B875*C875)/90000),1.1)</x:f>
        <x:v>1</x:v>
      </x:c>
      <x:c r="J875" s="11" t="n">
        <x:f aca="0">SUM(F875*I875)</x:f>
        <x:v>0</x:v>
      </x:c>
      <x:c r="K875" s="11" t="n">
        <x:f aca="0">SUM(H875*J875)</x:f>
        <x:v>0</x:v>
      </x:c>
      <x:c r="L875" s="11"/>
      <x:c r="M875" s="11" t="n">
        <x:f aca="0">SUM(C875-1)</x:f>
        <x:v>-1</x:v>
      </x:c>
      <x:c r="N875" s="11" t="n">
        <x:f aca="0">SUM(B875-1)</x:f>
        <x:v>-1</x:v>
      </x:c>
      <x:c r="O875" s="11" t="n">
        <x:f aca="0">SUM(F875*1)</x:f>
        <x:v>0</x:v>
      </x:c>
      <x:c r="P875" s="11"/>
      <x:c r="Q875" s="11" t="str">
        <x:f aca="0">A875</x:f>
        <x:v>側板</x:v>
      </x:c>
      <x:c r="R875" s="1" t="n">
        <x:f aca="0">SUM(B875*2+C875*2)*F875</x:f>
        <x:v>0</x:v>
      </x:c>
      <x:c r="T875"/>
    </x:row>
    <x:row r="876" ht="22.200000762939453" hidden="0">
      <x:c r="A876" s="10" t="s">
        <x:v>18</x:v>
      </x:c>
      <x:c r="B876" s="10"/>
      <x:c r="C876" s="10"/>
      <x:c r="D876" s="10" t="n">
        <x:v>18</x:v>
      </x:c>
      <x:c r="E876" s="10"/>
      <x:c r="F876" s="10"/>
      <x:c r="G876" s="10"/>
      <x:c r="H876" s="10" t="n">
        <x:v>69</x:v>
      </x:c>
      <x:c r="I876" s="11" t="n">
        <x:f aca="0">ROUND((IF((B876*C876)/90000&lt;1,1))+IF((B876*C876)/90000&gt;=1,(B876*C876)/90000),1.1)</x:f>
        <x:v>1</x:v>
      </x:c>
      <x:c r="J876" s="11" t="n">
        <x:f aca="0">SUM(F876*I876)</x:f>
        <x:v>0</x:v>
      </x:c>
      <x:c r="K876" s="11" t="n">
        <x:f aca="0">SUM(H876*J876)</x:f>
        <x:v>0</x:v>
      </x:c>
      <x:c r="L876" s="11"/>
      <x:c r="M876" s="11" t="n">
        <x:f aca="0">SUM(C876-1)</x:f>
        <x:v>-1</x:v>
      </x:c>
      <x:c r="N876" s="11" t="n">
        <x:f aca="0">SUM(B876-1)</x:f>
        <x:v>-1</x:v>
      </x:c>
      <x:c r="O876" s="11" t="n">
        <x:f aca="0">SUM(F876*1)</x:f>
        <x:v>0</x:v>
      </x:c>
      <x:c r="P876" s="11"/>
      <x:c r="Q876" s="11" t="str">
        <x:f aca="0">A876</x:f>
        <x:v>側板</x:v>
      </x:c>
      <x:c r="R876" s="1" t="n">
        <x:f aca="0">SUM(B876*2+C876*2)*F876</x:f>
        <x:v>0</x:v>
      </x:c>
      <x:c r="T876"/>
    </x:row>
    <x:row r="877" ht="22.200000762939453" hidden="0">
      <x:c r="A877" s="10" t="s">
        <x:v>18</x:v>
      </x:c>
      <x:c r="B877" s="10"/>
      <x:c r="C877" s="10"/>
      <x:c r="D877" s="10" t="n">
        <x:v>18</x:v>
      </x:c>
      <x:c r="E877" s="10"/>
      <x:c r="F877" s="10"/>
      <x:c r="G877" s="10"/>
      <x:c r="H877" s="10" t="n">
        <x:v>69</x:v>
      </x:c>
      <x:c r="I877" s="11" t="n">
        <x:f aca="0">ROUND((IF((B877*C877)/90000&lt;1,1))+IF((B877*C877)/90000&gt;=1,(B877*C877)/90000),1.1)</x:f>
        <x:v>1</x:v>
      </x:c>
      <x:c r="J877" s="11" t="n">
        <x:f aca="0">SUM(F877*I877)</x:f>
        <x:v>0</x:v>
      </x:c>
      <x:c r="K877" s="11" t="n">
        <x:f aca="0">SUM(H877*J877)</x:f>
        <x:v>0</x:v>
      </x:c>
      <x:c r="L877" s="11"/>
      <x:c r="M877" s="11" t="n">
        <x:f aca="0">SUM(C877-1)</x:f>
        <x:v>-1</x:v>
      </x:c>
      <x:c r="N877" s="11" t="n">
        <x:f aca="0">SUM(B877-1)</x:f>
        <x:v>-1</x:v>
      </x:c>
      <x:c r="O877" s="11" t="n">
        <x:f aca="0">SUM(F877*1)</x:f>
        <x:v>0</x:v>
      </x:c>
      <x:c r="P877" s="11"/>
      <x:c r="Q877" s="11" t="str">
        <x:f aca="0">A877</x:f>
        <x:v>側板</x:v>
      </x:c>
      <x:c r="R877" s="1" t="n">
        <x:f aca="0">SUM(B877*2+C877*2)*F877</x:f>
        <x:v>0</x:v>
      </x:c>
      <x:c r="T877"/>
    </x:row>
    <x:row r="878" ht="22.200000762939453" hidden="0">
      <x:c r="A878" s="10" t="s">
        <x:v>19</x:v>
      </x:c>
      <x:c r="B878" s="10"/>
      <x:c r="C878" s="10"/>
      <x:c r="D878" s="10" t="n">
        <x:v>18</x:v>
      </x:c>
      <x:c r="E878" s="10"/>
      <x:c r="F878" s="10"/>
      <x:c r="G878" s="10"/>
      <x:c r="H878" s="10" t="n">
        <x:v>69</x:v>
      </x:c>
      <x:c r="I878" s="11" t="n">
        <x:f aca="0">ROUND((IF((B878*C878)/90000&lt;1,1))+IF((B878*C878)/90000&gt;=1,(B878*C878)/90000),1.1)</x:f>
        <x:v>1</x:v>
      </x:c>
      <x:c r="J878" s="11" t="n">
        <x:f aca="0">SUM(F878*I878)</x:f>
        <x:v>0</x:v>
      </x:c>
      <x:c r="K878" s="11" t="n">
        <x:f aca="0">SUM(H878*J878)</x:f>
        <x:v>0</x:v>
      </x:c>
      <x:c r="L878" s="11"/>
      <x:c r="M878" s="11" t="n">
        <x:f aca="0">SUM(C878)</x:f>
        <x:v>0</x:v>
      </x:c>
      <x:c r="N878" s="11" t="n">
        <x:f aca="0">SUM(B878-1)</x:f>
        <x:v>-1</x:v>
      </x:c>
      <x:c r="O878" s="11" t="n">
        <x:f aca="0">SUM(F878*1)</x:f>
        <x:v>0</x:v>
      </x:c>
      <x:c r="P878" s="11"/>
      <x:c r="Q878" s="11" t="str">
        <x:f aca="0">A878</x:f>
        <x:v>頂底板</x:v>
      </x:c>
      <x:c r="R878" s="1" t="n">
        <x:f aca="0">SUM(C878*2)*F878</x:f>
        <x:v>0</x:v>
      </x:c>
      <x:c r="T878"/>
    </x:row>
    <x:row r="879" ht="22.200000762939453" hidden="0">
      <x:c r="A879" s="10" t="s">
        <x:v>19</x:v>
      </x:c>
      <x:c r="B879" s="10"/>
      <x:c r="C879" s="10"/>
      <x:c r="D879" s="10" t="n">
        <x:v>18</x:v>
      </x:c>
      <x:c r="E879" s="10"/>
      <x:c r="F879" s="10"/>
      <x:c r="G879" s="10"/>
      <x:c r="H879" s="10" t="n">
        <x:v>69</x:v>
      </x:c>
      <x:c r="I879" s="11" t="n">
        <x:f aca="0">ROUND((IF((B879*C879)/90000&lt;1,1))+IF((B879*C879)/90000&gt;=1,(B879*C879)/90000),1.1)</x:f>
        <x:v>1</x:v>
      </x:c>
      <x:c r="J879" s="11" t="n">
        <x:f aca="0">SUM(F879*I879)</x:f>
        <x:v>0</x:v>
      </x:c>
      <x:c r="K879" s="11" t="n">
        <x:f aca="0">SUM(H879*J879)</x:f>
        <x:v>0</x:v>
      </x:c>
      <x:c r="L879" s="11"/>
      <x:c r="M879" s="11" t="n">
        <x:f aca="0">SUM(C879)</x:f>
        <x:v>0</x:v>
      </x:c>
      <x:c r="N879" s="11" t="n">
        <x:f aca="0">SUM(B879-1)</x:f>
        <x:v>-1</x:v>
      </x:c>
      <x:c r="O879" s="11" t="n">
        <x:f aca="0">SUM(F879*1)</x:f>
        <x:v>0</x:v>
      </x:c>
      <x:c r="P879" s="11"/>
      <x:c r="Q879" s="11" t="str">
        <x:f aca="0">A879</x:f>
        <x:v>頂底板</x:v>
      </x:c>
      <x:c r="R879" s="1" t="n">
        <x:f aca="0">SUM(C879*2)*F879</x:f>
        <x:v>0</x:v>
      </x:c>
      <x:c r="T879"/>
    </x:row>
    <x:row r="880" ht="22.200000762939453" hidden="0">
      <x:c r="A880" s="10" t="s">
        <x:v>19</x:v>
      </x:c>
      <x:c r="B880" s="10"/>
      <x:c r="C880" s="10"/>
      <x:c r="D880" s="10" t="n">
        <x:v>18</x:v>
      </x:c>
      <x:c r="E880" s="10"/>
      <x:c r="F880" s="10"/>
      <x:c r="G880" s="10"/>
      <x:c r="H880" s="10" t="n">
        <x:v>69</x:v>
      </x:c>
      <x:c r="I880" s="11" t="n">
        <x:f aca="0">ROUND((IF((B880*C880)/90000&lt;1,1))+IF((B880*C880)/90000&gt;=1,(B880*C880)/90000),1.1)</x:f>
        <x:v>1</x:v>
      </x:c>
      <x:c r="J880" s="11" t="n">
        <x:f aca="0">SUM(F880*I880)</x:f>
        <x:v>0</x:v>
      </x:c>
      <x:c r="K880" s="11" t="n">
        <x:f aca="0">SUM(H880*J880)</x:f>
        <x:v>0</x:v>
      </x:c>
      <x:c r="L880" s="11"/>
      <x:c r="M880" s="11" t="n">
        <x:f aca="0">SUM(C880)</x:f>
        <x:v>0</x:v>
      </x:c>
      <x:c r="N880" s="11" t="n">
        <x:f aca="0">SUM(B880-1)</x:f>
        <x:v>-1</x:v>
      </x:c>
      <x:c r="O880" s="11" t="n">
        <x:f aca="0">SUM(F880*1)</x:f>
        <x:v>0</x:v>
      </x:c>
      <x:c r="P880" s="11"/>
      <x:c r="Q880" s="11" t="str">
        <x:f aca="0">A880</x:f>
        <x:v>頂底板</x:v>
      </x:c>
      <x:c r="R880" s="1" t="n">
        <x:f aca="0">SUM(C880*2)*F880</x:f>
        <x:v>0</x:v>
      </x:c>
      <x:c r="T880"/>
    </x:row>
    <x:row r="881" ht="22.200000762939453" hidden="0">
      <x:c r="A881" s="10" t="s">
        <x:v>20</x:v>
      </x:c>
      <x:c r="B881" s="10"/>
      <x:c r="C881" s="10"/>
      <x:c r="D881" s="10" t="n">
        <x:v>18</x:v>
      </x:c>
      <x:c r="E881" s="10"/>
      <x:c r="F881" s="10"/>
      <x:c r="G881" s="10"/>
      <x:c r="H881" s="10" t="n">
        <x:v>74</x:v>
      </x:c>
      <x:c r="I881" s="11" t="n">
        <x:f aca="0">ROUND((IF((B881*C881)/90000&lt;1,1))+IF((B881*C881)/90000&gt;=1,(B881*C881)/90000),1.1)</x:f>
        <x:v>1</x:v>
      </x:c>
      <x:c r="J881" s="11" t="n">
        <x:f aca="0">SUM(F881*I881)</x:f>
        <x:v>0</x:v>
      </x:c>
      <x:c r="K881" s="11" t="n">
        <x:f aca="0">SUM(H881*J881)</x:f>
        <x:v>0</x:v>
      </x:c>
      <x:c r="L881" s="11"/>
      <x:c r="M881" s="11" t="n">
        <x:f aca="0">SUM(C881)</x:f>
        <x:v>0</x:v>
      </x:c>
      <x:c r="N881" s="11" t="n">
        <x:f aca="0">SUM(B881-1)</x:f>
        <x:v>-1</x:v>
      </x:c>
      <x:c r="O881" s="11" t="n">
        <x:f aca="0">SUM(F881*1)</x:f>
        <x:v>0</x:v>
      </x:c>
      <x:c r="P881" s="11"/>
      <x:c r="Q881" s="11" t="str">
        <x:f aca="0">A881</x:f>
        <x:v>中立板</x:v>
      </x:c>
      <x:c r="R881" s="1" t="n">
        <x:f aca="0">SUM(C881*1)*F881</x:f>
        <x:v>0</x:v>
      </x:c>
      <x:c r="T881"/>
    </x:row>
    <x:row r="882" ht="22.200000762939453" hidden="0">
      <x:c r="A882" s="10" t="s">
        <x:v>20</x:v>
      </x:c>
      <x:c r="B882" s="10"/>
      <x:c r="C882" s="10"/>
      <x:c r="D882" s="10" t="n">
        <x:v>18</x:v>
      </x:c>
      <x:c r="E882" s="10"/>
      <x:c r="F882" s="10"/>
      <x:c r="G882" s="10"/>
      <x:c r="H882" s="10" t="n">
        <x:v>74</x:v>
      </x:c>
      <x:c r="I882" s="11" t="n">
        <x:f aca="0">ROUND((IF((B882*C882)/90000&lt;1,1))+IF((B882*C882)/90000&gt;=1,(B882*C882)/90000),1.1)</x:f>
        <x:v>1</x:v>
      </x:c>
      <x:c r="J882" s="11" t="n">
        <x:f aca="0">SUM(F882*I882)</x:f>
        <x:v>0</x:v>
      </x:c>
      <x:c r="K882" s="11" t="n">
        <x:f aca="0">SUM(H882*J882)</x:f>
        <x:v>0</x:v>
      </x:c>
      <x:c r="L882" s="11"/>
      <x:c r="M882" s="11" t="n">
        <x:f aca="0">SUM(C882)</x:f>
        <x:v>0</x:v>
      </x:c>
      <x:c r="N882" s="11" t="n">
        <x:f aca="0">SUM(B882-1)</x:f>
        <x:v>-1</x:v>
      </x:c>
      <x:c r="O882" s="11" t="n">
        <x:f aca="0">SUM(F882*1)</x:f>
        <x:v>0</x:v>
      </x:c>
      <x:c r="P882" s="11"/>
      <x:c r="Q882" s="11" t="str">
        <x:f aca="0">A882</x:f>
        <x:v>中立板</x:v>
      </x:c>
      <x:c r="R882" s="1" t="n">
        <x:f aca="0">SUM(C882*1)*F882</x:f>
        <x:v>0</x:v>
      </x:c>
      <x:c r="T882"/>
    </x:row>
    <x:row r="883" ht="22.200000762939453" hidden="0">
      <x:c r="A883" s="10" t="s">
        <x:v>21</x:v>
      </x:c>
      <x:c r="B883" s="10"/>
      <x:c r="C883" s="10"/>
      <x:c r="D883" s="10" t="n">
        <x:v>18</x:v>
      </x:c>
      <x:c r="E883" s="10"/>
      <x:c r="F883" s="10"/>
      <x:c r="G883" s="10"/>
      <x:c r="H883" s="10" t="n">
        <x:v>69</x:v>
      </x:c>
      <x:c r="I883" s="11" t="n">
        <x:f aca="0">ROUND((IF((B883*C883)/90000&lt;1,1))+IF((B883*C883)/90000&gt;=1,(B883*C883)/90000),1.1)</x:f>
        <x:v>1</x:v>
      </x:c>
      <x:c r="J883" s="11" t="n">
        <x:f aca="0">SUM(F883*I883)</x:f>
        <x:v>0</x:v>
      </x:c>
      <x:c r="K883" s="11" t="n">
        <x:f aca="0">SUM(H883*J883)</x:f>
        <x:v>0</x:v>
      </x:c>
      <x:c r="L883" s="11"/>
      <x:c r="M883" s="11" t="n">
        <x:f aca="0">SUM(C883)</x:f>
        <x:v>0</x:v>
      </x:c>
      <x:c r="N883" s="11" t="n">
        <x:f aca="0">SUM(B883-1)</x:f>
        <x:v>-1</x:v>
      </x:c>
      <x:c r="O883" s="11" t="n">
        <x:f aca="0">SUM(F883*1)</x:f>
        <x:v>0</x:v>
      </x:c>
      <x:c r="P883" s="11"/>
      <x:c r="Q883" s="11" t="str">
        <x:f aca="0">A883</x:f>
        <x:v>固格板</x:v>
      </x:c>
      <x:c r="R883" s="1" t="n">
        <x:f aca="0">SUM(C883*1)*F883</x:f>
        <x:v>0</x:v>
      </x:c>
      <x:c r="T883"/>
    </x:row>
    <x:row r="884" ht="22.200000762939453" hidden="0">
      <x:c r="A884" s="10" t="s">
        <x:v>21</x:v>
      </x:c>
      <x:c r="B884" s="10"/>
      <x:c r="C884" s="10"/>
      <x:c r="D884" s="10" t="n">
        <x:v>18</x:v>
      </x:c>
      <x:c r="E884" s="10"/>
      <x:c r="F884" s="10"/>
      <x:c r="G884" s="10"/>
      <x:c r="H884" s="10" t="n">
        <x:v>69</x:v>
      </x:c>
      <x:c r="I884" s="11" t="n">
        <x:f aca="0">ROUND((IF((B884*C884)/90000&lt;1,1))+IF((B884*C884)/90000&gt;=1,(B884*C884)/90000),1.1)</x:f>
        <x:v>1</x:v>
      </x:c>
      <x:c r="J884" s="11" t="n">
        <x:f aca="0">SUM(F884*I884)</x:f>
        <x:v>0</x:v>
      </x:c>
      <x:c r="K884" s="11" t="n">
        <x:f aca="0">SUM(H884*J884)</x:f>
        <x:v>0</x:v>
      </x:c>
      <x:c r="L884" s="11"/>
      <x:c r="M884" s="11" t="n">
        <x:f aca="0">SUM(C884)</x:f>
        <x:v>0</x:v>
      </x:c>
      <x:c r="N884" s="11" t="n">
        <x:f aca="0">SUM(B884-1)</x:f>
        <x:v>-1</x:v>
      </x:c>
      <x:c r="O884" s="11" t="n">
        <x:f aca="0">SUM(F884*1)</x:f>
        <x:v>0</x:v>
      </x:c>
      <x:c r="P884" s="11"/>
      <x:c r="Q884" s="11" t="str">
        <x:f aca="0">A884</x:f>
        <x:v>固格板</x:v>
      </x:c>
      <x:c r="R884" s="1" t="n">
        <x:f aca="0">SUM(C884*1)*F884</x:f>
        <x:v>0</x:v>
      </x:c>
      <x:c r="T884"/>
    </x:row>
    <x:row r="885" ht="22.200000762939453" hidden="0">
      <x:c r="A885" s="10" t="s">
        <x:v>21</x:v>
      </x:c>
      <x:c r="B885" s="10"/>
      <x:c r="C885" s="10"/>
      <x:c r="D885" s="10" t="n">
        <x:v>18</x:v>
      </x:c>
      <x:c r="E885" s="10"/>
      <x:c r="F885" s="10"/>
      <x:c r="G885" s="10"/>
      <x:c r="H885" s="10" t="n">
        <x:v>69</x:v>
      </x:c>
      <x:c r="I885" s="11" t="n">
        <x:f aca="0">ROUND((IF((B885*C885)/90000&lt;1,1))+IF((B885*C885)/90000&gt;=1,(B885*C885)/90000),1.1)</x:f>
        <x:v>1</x:v>
      </x:c>
      <x:c r="J885" s="11" t="n">
        <x:f aca="0">SUM(F885*I885)</x:f>
        <x:v>0</x:v>
      </x:c>
      <x:c r="K885" s="11" t="n">
        <x:f aca="0">SUM(H885*J885)</x:f>
        <x:v>0</x:v>
      </x:c>
      <x:c r="L885" s="11"/>
      <x:c r="M885" s="11" t="n">
        <x:f aca="0">SUM(C885)</x:f>
        <x:v>0</x:v>
      </x:c>
      <x:c r="N885" s="11" t="n">
        <x:f aca="0">SUM(B885-1)</x:f>
        <x:v>-1</x:v>
      </x:c>
      <x:c r="O885" s="11" t="n">
        <x:f aca="0">SUM(F885*1)</x:f>
        <x:v>0</x:v>
      </x:c>
      <x:c r="P885" s="11"/>
      <x:c r="Q885" s="11" t="str">
        <x:f aca="0">A885</x:f>
        <x:v>固格板</x:v>
      </x:c>
      <x:c r="R885" s="1" t="n">
        <x:f aca="0">SUM(C885*1)*F885</x:f>
        <x:v>0</x:v>
      </x:c>
      <x:c r="T885"/>
    </x:row>
    <x:row r="886" ht="22.200000762939453" hidden="0">
      <x:c r="A886" s="10" t="s">
        <x:v>22</x:v>
      </x:c>
      <x:c r="B886" s="10"/>
      <x:c r="C886" s="10"/>
      <x:c r="D886" s="10" t="n">
        <x:v>18</x:v>
      </x:c>
      <x:c r="E886" s="10"/>
      <x:c r="F886" s="10"/>
      <x:c r="G886" s="10"/>
      <x:c r="H886" s="10" t="n">
        <x:v>69</x:v>
      </x:c>
      <x:c r="I886" s="11" t="n">
        <x:f aca="0">ROUND((IF((B886*C886)/90000&lt;1,1))+IF((B886*C886)/90000&gt;=1,(B886*C886)/90000),1.1)</x:f>
        <x:v>1</x:v>
      </x:c>
      <x:c r="J886" s="11" t="n">
        <x:f aca="0">SUM(F886*I886)</x:f>
        <x:v>0</x:v>
      </x:c>
      <x:c r="K886" s="11" t="n">
        <x:f aca="0">SUM(H886*J886)</x:f>
        <x:v>0</x:v>
      </x:c>
      <x:c r="L886" s="11"/>
      <x:c r="M886" s="11" t="n">
        <x:f aca="0">SUM(C886-1)</x:f>
        <x:v>-1</x:v>
      </x:c>
      <x:c r="N886" s="11" t="n">
        <x:f aca="0">SUM(B886-1)</x:f>
        <x:v>-1</x:v>
      </x:c>
      <x:c r="O886" s="11" t="n">
        <x:f aca="0">SUM(F886*1)</x:f>
        <x:v>0</x:v>
      </x:c>
      <x:c r="P886" s="11"/>
      <x:c r="Q886" s="11" t="str">
        <x:f aca="0">A886</x:f>
        <x:v>活格板</x:v>
      </x:c>
      <x:c r="R886" s="1" t="n">
        <x:f aca="0">SUM(B886*2+C886*2)*F886</x:f>
        <x:v>0</x:v>
      </x:c>
      <x:c r="T886"/>
    </x:row>
    <x:row r="887" ht="22.200000762939453" hidden="0">
      <x:c r="A887" s="10" t="s">
        <x:v>22</x:v>
      </x:c>
      <x:c r="B887" s="10"/>
      <x:c r="C887" s="10"/>
      <x:c r="D887" s="10" t="n">
        <x:v>18</x:v>
      </x:c>
      <x:c r="E887" s="10"/>
      <x:c r="F887" s="10"/>
      <x:c r="G887" s="10"/>
      <x:c r="H887" s="10" t="n">
        <x:v>69</x:v>
      </x:c>
      <x:c r="I887" s="11" t="n">
        <x:f aca="0">ROUND((IF((B887*C887)/90000&lt;1,1))+IF((B887*C887)/90000&gt;=1,(B887*C887)/90000),1.1)</x:f>
        <x:v>1</x:v>
      </x:c>
      <x:c r="J887" s="11" t="n">
        <x:f aca="0">SUM(F887*I887)</x:f>
        <x:v>0</x:v>
      </x:c>
      <x:c r="K887" s="11" t="n">
        <x:f aca="0">SUM(H887*J887)</x:f>
        <x:v>0</x:v>
      </x:c>
      <x:c r="L887" s="11"/>
      <x:c r="M887" s="11" t="n">
        <x:f aca="0">SUM(C887-1)</x:f>
        <x:v>-1</x:v>
      </x:c>
      <x:c r="N887" s="11" t="n">
        <x:f aca="0">SUM(B887-1)</x:f>
        <x:v>-1</x:v>
      </x:c>
      <x:c r="O887" s="11" t="n">
        <x:f aca="0">SUM(F887*1)</x:f>
        <x:v>0</x:v>
      </x:c>
      <x:c r="P887" s="11"/>
      <x:c r="Q887" s="11" t="str">
        <x:f aca="0">A887</x:f>
        <x:v>活格板</x:v>
      </x:c>
      <x:c r="R887" s="1" t="n">
        <x:f aca="0">SUM(B887*2+C887*2)*F887</x:f>
        <x:v>0</x:v>
      </x:c>
      <x:c r="T887"/>
    </x:row>
    <x:row r="888" ht="22.200000762939453" hidden="0">
      <x:c r="A888" s="10" t="s">
        <x:v>22</x:v>
      </x:c>
      <x:c r="B888" s="10"/>
      <x:c r="C888" s="10"/>
      <x:c r="D888" s="10" t="n">
        <x:v>18</x:v>
      </x:c>
      <x:c r="E888" s="10"/>
      <x:c r="F888" s="10"/>
      <x:c r="G888" s="10"/>
      <x:c r="H888" s="10" t="n">
        <x:v>69</x:v>
      </x:c>
      <x:c r="I888" s="11" t="n">
        <x:f aca="0">ROUND((IF((B888*C888)/90000&lt;1,1))+IF((B888*C888)/90000&gt;=1,(B888*C888)/90000),1.1)</x:f>
        <x:v>1</x:v>
      </x:c>
      <x:c r="J888" s="11" t="n">
        <x:f aca="0">SUM(F888*I888)</x:f>
        <x:v>0</x:v>
      </x:c>
      <x:c r="K888" s="11" t="n">
        <x:f aca="0">SUM(H888*J888)</x:f>
        <x:v>0</x:v>
      </x:c>
      <x:c r="L888" s="11"/>
      <x:c r="M888" s="11" t="n">
        <x:f aca="0">SUM(C888-1)</x:f>
        <x:v>-1</x:v>
      </x:c>
      <x:c r="N888" s="11" t="n">
        <x:f aca="0">SUM(B888-1)</x:f>
        <x:v>-1</x:v>
      </x:c>
      <x:c r="O888" s="11" t="n">
        <x:f aca="0">SUM(F888*1)</x:f>
        <x:v>0</x:v>
      </x:c>
      <x:c r="P888" s="11"/>
      <x:c r="Q888" s="11" t="str">
        <x:f aca="0">A888</x:f>
        <x:v>活格板</x:v>
      </x:c>
      <x:c r="R888" s="1" t="n">
        <x:f aca="0">SUM(B888*2+C888*2)*F888</x:f>
        <x:v>0</x:v>
      </x:c>
      <x:c r="T888"/>
    </x:row>
    <x:row r="889" ht="22.200000762939453" hidden="0">
      <x:c r="A889" s="10" t="s">
        <x:v>22</x:v>
      </x:c>
      <x:c r="B889" s="10"/>
      <x:c r="C889" s="10"/>
      <x:c r="D889" s="10" t="n">
        <x:v>18</x:v>
      </x:c>
      <x:c r="E889" s="10"/>
      <x:c r="F889" s="10"/>
      <x:c r="G889" s="10"/>
      <x:c r="H889" s="10" t="n">
        <x:v>69</x:v>
      </x:c>
      <x:c r="I889" s="11" t="n">
        <x:f aca="0">ROUND((IF((B889*C889)/90000&lt;1,1))+IF((B889*C889)/90000&gt;=1,(B889*C889)/90000),1.1)</x:f>
        <x:v>1</x:v>
      </x:c>
      <x:c r="J889" s="11" t="n">
        <x:f aca="0">SUM(F889*I889)</x:f>
        <x:v>0</x:v>
      </x:c>
      <x:c r="K889" s="11" t="n">
        <x:f aca="0">SUM(H889*J889)</x:f>
        <x:v>0</x:v>
      </x:c>
      <x:c r="L889" s="11"/>
      <x:c r="M889" s="11" t="n">
        <x:f aca="0">SUM(C889-1)</x:f>
        <x:v>-1</x:v>
      </x:c>
      <x:c r="N889" s="11" t="n">
        <x:f aca="0">SUM(B889-1)</x:f>
        <x:v>-1</x:v>
      </x:c>
      <x:c r="O889" s="11" t="n">
        <x:f aca="0">SUM(F889*1)</x:f>
        <x:v>0</x:v>
      </x:c>
      <x:c r="P889" s="11"/>
      <x:c r="Q889" s="11" t="str">
        <x:f aca="0">A889</x:f>
        <x:v>活格板</x:v>
      </x:c>
      <x:c r="R889" s="1" t="n">
        <x:f aca="0">SUM(B889*2+C889*2)*F889</x:f>
        <x:v>0</x:v>
      </x:c>
      <x:c r="T889"/>
    </x:row>
    <x:row r="890" ht="22.200000762939453" hidden="0">
      <x:c r="A890" s="10" t="s">
        <x:v>23</x:v>
      </x:c>
      <x:c r="B890" s="10"/>
      <x:c r="C890" s="10"/>
      <x:c r="D890" s="10" t="n">
        <x:v>18</x:v>
      </x:c>
      <x:c r="E890" s="10"/>
      <x:c r="F890" s="10"/>
      <x:c r="G890" s="10"/>
      <x:c r="H890" s="10" t="n">
        <x:v>69</x:v>
      </x:c>
      <x:c r="I890" s="11" t="n">
        <x:f aca="0">ROUND((IF((B890*C890)/90000&lt;1,1))+IF((B890*C890)/90000&gt;=1,(B890*C890)/90000),1.1)</x:f>
        <x:v>1</x:v>
      </x:c>
      <x:c r="J890" s="11" t="n">
        <x:f aca="0">SUM(F890*I890)</x:f>
        <x:v>0</x:v>
      </x:c>
      <x:c r="K890" s="11" t="n">
        <x:f aca="0">SUM(H890*J890)</x:f>
        <x:v>0</x:v>
      </x:c>
      <x:c r="L890" s="11"/>
      <x:c r="M890" s="11" t="n">
        <x:f aca="0">SUM(C890-1)</x:f>
        <x:v>-1</x:v>
      </x:c>
      <x:c r="N890" s="11" t="n">
        <x:f aca="0">SUM(B890-1)</x:f>
        <x:v>-1</x:v>
      </x:c>
      <x:c r="O890" s="11" t="n">
        <x:f aca="0">SUM(F890*1)</x:f>
        <x:v>0</x:v>
      </x:c>
      <x:c r="P890" s="11"/>
      <x:c r="Q890" s="11" t="str">
        <x:f aca="0">A890</x:f>
        <x:v>抽框</x:v>
      </x:c>
      <x:c r="R890" s="1" t="n">
        <x:f aca="0">SUM(B890*2+C890*2)*F890</x:f>
        <x:v>0</x:v>
      </x:c>
      <x:c r="T890"/>
    </x:row>
    <x:row r="891" ht="22.200000762939453" hidden="0">
      <x:c r="A891" s="10" t="s">
        <x:v>24</x:v>
      </x:c>
      <x:c r="B891" s="10"/>
      <x:c r="C891" s="10"/>
      <x:c r="D891" s="10" t="n">
        <x:v>18</x:v>
      </x:c>
      <x:c r="E891" s="10"/>
      <x:c r="F891" s="10"/>
      <x:c r="G891" s="10"/>
      <x:c r="H891" s="10" t="n">
        <x:v>69</x:v>
      </x:c>
      <x:c r="I891" s="11" t="n">
        <x:f aca="0">ROUND((IF((B891*C891)/90000&lt;1,1))+IF((B891*C891)/90000&gt;=1,(B891*C891)/90000),1.1)</x:f>
        <x:v>1</x:v>
      </x:c>
      <x:c r="J891" s="11" t="n">
        <x:f aca="0">SUM(F891*I891)</x:f>
        <x:v>0</x:v>
      </x:c>
      <x:c r="K891" s="11" t="n">
        <x:f aca="0">SUM(H891*J891)</x:f>
        <x:v>0</x:v>
      </x:c>
      <x:c r="L891" s="11"/>
      <x:c r="M891" s="11" t="n">
        <x:f aca="0">SUM(C891-1)</x:f>
        <x:v>-1</x:v>
      </x:c>
      <x:c r="N891" s="11" t="n">
        <x:f aca="0">SUM(B891-1)</x:f>
        <x:v>-1</x:v>
      </x:c>
      <x:c r="O891" s="11" t="n">
        <x:f aca="0">SUM(F891*1)</x:f>
        <x:v>0</x:v>
      </x:c>
      <x:c r="P891" s="11"/>
      <x:c r="Q891" s="11" t="str">
        <x:f aca="0">A891</x:f>
        <x:v>框中立</x:v>
      </x:c>
      <x:c r="R891" s="1" t="n">
        <x:f aca="0">SUM(B891*2+C891*2)*F891</x:f>
        <x:v>0</x:v>
      </x:c>
      <x:c r="T891"/>
    </x:row>
    <x:row r="892" ht="22.200000762939453" hidden="0">
      <x:c r="A892" s="10" t="s">
        <x:v>25</x:v>
      </x:c>
      <x:c r="B892" s="10"/>
      <x:c r="C892" s="10"/>
      <x:c r="D892" s="10" t="n">
        <x:v>18</x:v>
      </x:c>
      <x:c r="E892" s="10"/>
      <x:c r="F892" s="10"/>
      <x:c r="G892" s="10"/>
      <x:c r="H892" s="10" t="n">
        <x:v>69</x:v>
      </x:c>
      <x:c r="I892" s="11" t="n">
        <x:f aca="0">ROUND((IF((B892*C892)/90000&lt;1,1))+IF((B892*C892)/90000&gt;=1,(B892*C892)/90000),1.1)</x:f>
        <x:v>1</x:v>
      </x:c>
      <x:c r="J892" s="11" t="n">
        <x:f aca="0">SUM(F892*I892)</x:f>
        <x:v>0</x:v>
      </x:c>
      <x:c r="K892" s="11" t="n">
        <x:f aca="0">SUM(H892*J892)</x:f>
        <x:v>0</x:v>
      </x:c>
      <x:c r="L892" s="11"/>
      <x:c r="M892" s="11" t="n">
        <x:f aca="0">SUM(C892)</x:f>
        <x:v>0</x:v>
      </x:c>
      <x:c r="N892" s="11" t="n">
        <x:f aca="0">SUM(B892-1)</x:f>
        <x:v>-1</x:v>
      </x:c>
      <x:c r="O892" s="11" t="n">
        <x:f aca="0">SUM(F892*1)</x:f>
        <x:v>0</x:v>
      </x:c>
      <x:c r="P892" s="11"/>
      <x:c r="Q892" s="11" t="str">
        <x:f aca="0">A892</x:f>
        <x:v>橫木</x:v>
      </x:c>
      <x:c r="R892" s="1" t="n">
        <x:f aca="0">SUM(C892*2)*F892</x:f>
        <x:v>0</x:v>
      </x:c>
      <x:c r="T892"/>
    </x:row>
    <x:row r="893" ht="22.200000762939453" hidden="0">
      <x:c r="A893" s="10" t="s">
        <x:v>26</x:v>
      </x:c>
      <x:c r="B893" s="10"/>
      <x:c r="C893" s="10"/>
      <x:c r="D893" s="10" t="n">
        <x:v>18</x:v>
      </x:c>
      <x:c r="E893" s="10"/>
      <x:c r="F893" s="10"/>
      <x:c r="G893" s="10"/>
      <x:c r="H893" s="10" t="n">
        <x:v>69</x:v>
      </x:c>
      <x:c r="I893" s="11" t="n">
        <x:f aca="0">ROUND((IF((B893*C893)/90000&lt;1,1))+IF((B893*C893)/90000&gt;=1,(B893*C893)/90000),1.1)</x:f>
        <x:v>1</x:v>
      </x:c>
      <x:c r="J893" s="11" t="n">
        <x:f aca="0">SUM(F893*I893)</x:f>
        <x:v>0</x:v>
      </x:c>
      <x:c r="K893" s="11" t="n">
        <x:f aca="0">SUM(H893*J893)</x:f>
        <x:v>0</x:v>
      </x:c>
      <x:c r="L893" s="11"/>
      <x:c r="M893" s="11" t="n">
        <x:f aca="0">SUM(C893)</x:f>
        <x:v>0</x:v>
      </x:c>
      <x:c r="N893" s="11" t="n">
        <x:f aca="0">SUM(B893-1)</x:f>
        <x:v>-1</x:v>
      </x:c>
      <x:c r="O893" s="11" t="n">
        <x:f aca="0">SUM(F893*1)</x:f>
        <x:v>0</x:v>
      </x:c>
      <x:c r="P893" s="11"/>
      <x:c r="Q893" s="11" t="str">
        <x:f aca="0">A893</x:f>
        <x:v>前抽牆</x:v>
      </x:c>
      <x:c r="R893" s="1" t="n">
        <x:f aca="0">SUM(C893*2)*F893</x:f>
        <x:v>0</x:v>
      </x:c>
      <x:c r="T893"/>
    </x:row>
    <x:row r="894" ht="22.200000762939453" hidden="0">
      <x:c r="A894" s="10" t="s">
        <x:v>26</x:v>
      </x:c>
      <x:c r="B894" s="10"/>
      <x:c r="C894" s="10"/>
      <x:c r="D894" s="10" t="n">
        <x:v>18</x:v>
      </x:c>
      <x:c r="E894" s="10"/>
      <x:c r="F894" s="10"/>
      <x:c r="G894" s="10"/>
      <x:c r="H894" s="10" t="n">
        <x:v>69</x:v>
      </x:c>
      <x:c r="I894" s="11" t="n">
        <x:f aca="0">ROUND((IF((B894*C894)/90000&lt;1,1))+IF((B894*C894)/90000&gt;=1,(B894*C894)/90000),1.1)</x:f>
        <x:v>1</x:v>
      </x:c>
      <x:c r="J894" s="11" t="n">
        <x:f aca="0">SUM(F894*I894)</x:f>
        <x:v>0</x:v>
      </x:c>
      <x:c r="K894" s="11" t="n">
        <x:f aca="0">SUM(H894*J894)</x:f>
        <x:v>0</x:v>
      </x:c>
      <x:c r="L894" s="11"/>
      <x:c r="M894" s="11" t="n">
        <x:f aca="0">SUM(C894)</x:f>
        <x:v>0</x:v>
      </x:c>
      <x:c r="N894" s="11" t="n">
        <x:f aca="0">SUM(B894-1)</x:f>
        <x:v>-1</x:v>
      </x:c>
      <x:c r="O894" s="11" t="n">
        <x:f aca="0">SUM(F894*1)</x:f>
        <x:v>0</x:v>
      </x:c>
      <x:c r="P894" s="11"/>
      <x:c r="Q894" s="11" t="str">
        <x:f aca="0">A894</x:f>
        <x:v>前抽牆</x:v>
      </x:c>
      <x:c r="R894" s="1" t="n">
        <x:f aca="0">SUM(C894*2)*F894</x:f>
        <x:v>0</x:v>
      </x:c>
      <x:c r="T894"/>
    </x:row>
    <x:row r="895" ht="22.200000762939453" hidden="0">
      <x:c r="A895" s="10" t="s">
        <x:v>27</x:v>
      </x:c>
      <x:c r="B895" s="10"/>
      <x:c r="C895" s="10"/>
      <x:c r="D895" s="10" t="n">
        <x:v>18</x:v>
      </x:c>
      <x:c r="E895" s="10"/>
      <x:c r="F895" s="10"/>
      <x:c r="G895" s="10"/>
      <x:c r="H895" s="10" t="n">
        <x:v>69</x:v>
      </x:c>
      <x:c r="I895" s="11" t="n">
        <x:f aca="0">ROUND((IF((B895*C895)/90000&lt;1,1))+IF((B895*C895)/90000&gt;=1,(B895*C895)/90000),1.1)</x:f>
        <x:v>1</x:v>
      </x:c>
      <x:c r="J895" s="11" t="n">
        <x:f aca="0">SUM(F895*I895)</x:f>
        <x:v>0</x:v>
      </x:c>
      <x:c r="K895" s="11" t="n">
        <x:f aca="0">SUM(H895*J895)</x:f>
        <x:v>0</x:v>
      </x:c>
      <x:c r="L895" s="11"/>
      <x:c r="M895" s="11" t="n">
        <x:f aca="0">SUM(C895)</x:f>
        <x:v>0</x:v>
      </x:c>
      <x:c r="N895" s="11" t="n">
        <x:f aca="0">SUM(B895-1)</x:f>
        <x:v>-1</x:v>
      </x:c>
      <x:c r="O895" s="11" t="n">
        <x:f aca="0">SUM(F895*1)</x:f>
        <x:v>0</x:v>
      </x:c>
      <x:c r="P895" s="11"/>
      <x:c r="Q895" s="11" t="str">
        <x:f aca="0">A895</x:f>
        <x:v>邊抽牆</x:v>
      </x:c>
      <x:c r="R895" s="1" t="n">
        <x:f aca="0">SUM(C895*2)*F895</x:f>
        <x:v>0</x:v>
      </x:c>
      <x:c r="T895"/>
    </x:row>
    <x:row r="896" ht="22.200000762939453" hidden="0">
      <x:c r="A896" s="10" t="s">
        <x:v>27</x:v>
      </x:c>
      <x:c r="B896" s="10"/>
      <x:c r="C896" s="10"/>
      <x:c r="D896" s="10" t="n">
        <x:v>18</x:v>
      </x:c>
      <x:c r="E896" s="10"/>
      <x:c r="F896" s="10"/>
      <x:c r="G896" s="10"/>
      <x:c r="H896" s="10" t="n">
        <x:v>69</x:v>
      </x:c>
      <x:c r="I896" s="11" t="n">
        <x:f aca="0">ROUND((IF((B896*C896)/90000&lt;1,1))+IF((B896*C896)/90000&gt;=1,(B896*C896)/90000),1.1)</x:f>
        <x:v>1</x:v>
      </x:c>
      <x:c r="J896" s="11" t="n">
        <x:f aca="0">SUM(F896*I896)</x:f>
        <x:v>0</x:v>
      </x:c>
      <x:c r="K896" s="11" t="n">
        <x:f aca="0">SUM(H896*J896)</x:f>
        <x:v>0</x:v>
      </x:c>
      <x:c r="L896" s="11"/>
      <x:c r="M896" s="11" t="n">
        <x:f aca="0">SUM(C896)</x:f>
        <x:v>0</x:v>
      </x:c>
      <x:c r="N896" s="11" t="n">
        <x:f aca="0">SUM(B896-1)</x:f>
        <x:v>-1</x:v>
      </x:c>
      <x:c r="O896" s="11" t="n">
        <x:f aca="0">SUM(F896*1)</x:f>
        <x:v>0</x:v>
      </x:c>
      <x:c r="P896" s="11"/>
      <x:c r="Q896" s="11" t="str">
        <x:f aca="0">A896</x:f>
        <x:v>邊抽牆</x:v>
      </x:c>
      <x:c r="R896" s="1" t="n">
        <x:f aca="0">SUM(C896*2)*F896</x:f>
        <x:v>0</x:v>
      </x:c>
      <x:c r="T896"/>
    </x:row>
    <x:row r="897" ht="22.200000762939453" hidden="0">
      <x:c r="A897" s="10" t="s">
        <x:v>28</x:v>
      </x:c>
      <x:c r="B897" s="10"/>
      <x:c r="C897" s="10"/>
      <x:c r="D897" s="10" t="n">
        <x:v>8</x:v>
      </x:c>
      <x:c r="E897" s="10"/>
      <x:c r="F897" s="10"/>
      <x:c r="G897" s="10"/>
      <x:c r="H897" s="10" t="n">
        <x:v>50</x:v>
      </x:c>
      <x:c r="I897" s="11" t="n">
        <x:f aca="0">ROUND((IF((B897*C897)/90000&lt;1,1))+IF((B897*C897)/90000&gt;=1,(B897*C897)/90000),1.1)</x:f>
        <x:v>1</x:v>
      </x:c>
      <x:c r="J897" s="11" t="n">
        <x:f aca="0">SUM(F897*I897)</x:f>
        <x:v>0</x:v>
      </x:c>
      <x:c r="K897" s="11" t="n">
        <x:f aca="0">SUM(H897*J897)</x:f>
        <x:v>0</x:v>
      </x:c>
      <x:c r="L897" s="11"/>
      <x:c r="M897" s="11" t="n">
        <x:f aca="0">SUM(C897)</x:f>
        <x:v>0</x:v>
      </x:c>
      <x:c r="N897" s="11" t="n">
        <x:f aca="0">SUM(B897)</x:f>
        <x:v>0</x:v>
      </x:c>
      <x:c r="O897" s="11" t="n">
        <x:f aca="0">SUM(F897*1)</x:f>
        <x:v>0</x:v>
      </x:c>
      <x:c r="P897" s="11"/>
      <x:c r="Q897" s="11" t="str">
        <x:f aca="0">A897</x:f>
        <x:v>抽底板</x:v>
      </x:c>
      <x:c r="T897"/>
    </x:row>
    <x:row r="898" ht="22.200000762939453" hidden="0">
      <x:c r="A898" s="10" t="s">
        <x:v>28</x:v>
      </x:c>
      <x:c r="B898" s="10"/>
      <x:c r="C898" s="10"/>
      <x:c r="D898" s="10" t="n">
        <x:v>8</x:v>
      </x:c>
      <x:c r="E898" s="10"/>
      <x:c r="F898" s="10"/>
      <x:c r="G898" s="10"/>
      <x:c r="H898" s="10" t="n">
        <x:v>50</x:v>
      </x:c>
      <x:c r="I898" s="11" t="n">
        <x:f aca="0">ROUND((IF((B898*C898)/90000&lt;1,1))+IF((B898*C898)/90000&gt;=1,(B898*C898)/90000),1.1)</x:f>
        <x:v>1</x:v>
      </x:c>
      <x:c r="J898" s="11" t="n">
        <x:f aca="0">SUM(F898*I898)</x:f>
        <x:v>0</x:v>
      </x:c>
      <x:c r="K898" s="11" t="n">
        <x:f aca="0">SUM(H898*J898)</x:f>
        <x:v>0</x:v>
      </x:c>
      <x:c r="L898" s="11"/>
      <x:c r="M898" s="11" t="n">
        <x:f aca="0">SUM(C898)</x:f>
        <x:v>0</x:v>
      </x:c>
      <x:c r="N898" s="11" t="n">
        <x:f aca="0">SUM(B898)</x:f>
        <x:v>0</x:v>
      </x:c>
      <x:c r="O898" s="11" t="n">
        <x:f aca="0">SUM(F898*1)</x:f>
        <x:v>0</x:v>
      </x:c>
      <x:c r="P898" s="11"/>
      <x:c r="Q898" s="11" t="str">
        <x:f aca="0">A898</x:f>
        <x:v>抽底板</x:v>
      </x:c>
      <x:c r="T898"/>
    </x:row>
    <x:row r="899" ht="22.200000762939453" hidden="0">
      <x:c r="A899" s="12" t="s">
        <x:v>64</x:v>
      </x:c>
      <x:c r="B899" s="10"/>
      <x:c r="C899" s="10"/>
      <x:c r="D899" s="10" t="n">
        <x:v>18</x:v>
      </x:c>
      <x:c r="E899" s="10"/>
      <x:c r="F899" s="10"/>
      <x:c r="G899" s="10"/>
      <x:c r="H899" s="10" t="n">
        <x:v>84</x:v>
      </x:c>
      <x:c r="I899" s="11" t="n">
        <x:f aca="0">ROUND((IF((B899*C899)/90000&lt;1,1))+IF((B899*C899)/90000&gt;=1,(B899*C899)/90000),1.1)</x:f>
        <x:v>1</x:v>
      </x:c>
      <x:c r="J899" s="11" t="n">
        <x:f aca="0">SUM(F899*I899)</x:f>
        <x:v>0</x:v>
      </x:c>
      <x:c r="K899" s="11" t="n">
        <x:f aca="0">SUM(H899*J899)</x:f>
        <x:v>0</x:v>
      </x:c>
      <x:c r="L899" s="11"/>
      <x:c r="M899" s="11" t="n">
        <x:f aca="0">SUM(C899-2)</x:f>
        <x:v>-2</x:v>
      </x:c>
      <x:c r="N899" s="11" t="n">
        <x:f aca="0">SUM(B899-2)</x:f>
        <x:v>-2</x:v>
      </x:c>
      <x:c r="O899" s="11" t="n">
        <x:f aca="0">SUM(F899*1)</x:f>
        <x:v>0</x:v>
      </x:c>
      <x:c r="P899" s="11"/>
      <x:c r="Q899" s="11" t="str">
        <x:f aca="0">A899</x:f>
        <x:v>4E門板</x:v>
      </x:c>
      <x:c r="S899" s="1" t="n">
        <x:f aca="0">SUM(B899*2+C899*2)*F899</x:f>
        <x:v>0</x:v>
      </x:c>
      <x:c r="T899"/>
    </x:row>
    <x:row r="900" ht="22.200000762939453" hidden="0">
      <x:c r="A900" s="12" t="s">
        <x:v>64</x:v>
      </x:c>
      <x:c r="B900" s="10"/>
      <x:c r="C900" s="10"/>
      <x:c r="D900" s="10" t="n">
        <x:v>18</x:v>
      </x:c>
      <x:c r="E900" s="10"/>
      <x:c r="F900" s="10"/>
      <x:c r="G900" s="10"/>
      <x:c r="H900" s="10" t="n">
        <x:v>84</x:v>
      </x:c>
      <x:c r="I900" s="11" t="n">
        <x:f aca="0">ROUND((IF((B900*C900)/90000&lt;1,1))+IF((B900*C900)/90000&gt;=1,(B900*C900)/90000),1.1)</x:f>
        <x:v>1</x:v>
      </x:c>
      <x:c r="J900" s="11" t="n">
        <x:f aca="0">SUM(F900*I900)</x:f>
        <x:v>0</x:v>
      </x:c>
      <x:c r="K900" s="11" t="n">
        <x:f aca="0">SUM(H900*J900)</x:f>
        <x:v>0</x:v>
      </x:c>
      <x:c r="L900" s="11"/>
      <x:c r="M900" s="11" t="n">
        <x:f aca="0">SUM(C900-2)</x:f>
        <x:v>-2</x:v>
      </x:c>
      <x:c r="N900" s="11" t="n">
        <x:f aca="0">SUM(B900-2)</x:f>
        <x:v>-2</x:v>
      </x:c>
      <x:c r="O900" s="11" t="n">
        <x:f aca="0">SUM(F900*1)</x:f>
        <x:v>0</x:v>
      </x:c>
      <x:c r="P900" s="11"/>
      <x:c r="Q900" s="11" t="str">
        <x:f aca="0">A900</x:f>
        <x:v>4E門板</x:v>
      </x:c>
      <x:c r="S900" s="1" t="n">
        <x:f aca="0">SUM(B900*2+C900*2)*F900</x:f>
        <x:v>0</x:v>
      </x:c>
      <x:c r="T900"/>
    </x:row>
    <x:row r="901" ht="22.200000762939453" hidden="0">
      <x:c r="A901" s="12" t="s">
        <x:v>64</x:v>
      </x:c>
      <x:c r="B901" s="10"/>
      <x:c r="C901" s="10"/>
      <x:c r="D901" s="10" t="n">
        <x:v>18</x:v>
      </x:c>
      <x:c r="E901" s="10"/>
      <x:c r="F901" s="10"/>
      <x:c r="G901" s="10"/>
      <x:c r="H901" s="10" t="n">
        <x:v>84</x:v>
      </x:c>
      <x:c r="I901" s="11" t="n">
        <x:f aca="0">ROUND((IF((B901*C901)/90000&lt;1,1))+IF((B901*C901)/90000&gt;=1,(B901*C901)/90000),1.1)</x:f>
        <x:v>1</x:v>
      </x:c>
      <x:c r="J901" s="11" t="n">
        <x:f aca="0">SUM(F901*I901)</x:f>
        <x:v>0</x:v>
      </x:c>
      <x:c r="K901" s="11" t="n">
        <x:f aca="0">SUM(H901*J901)</x:f>
        <x:v>0</x:v>
      </x:c>
      <x:c r="L901" s="11"/>
      <x:c r="M901" s="11" t="n">
        <x:f aca="0">SUM(C901-2)</x:f>
        <x:v>-2</x:v>
      </x:c>
      <x:c r="N901" s="11" t="n">
        <x:f aca="0">SUM(B901-2)</x:f>
        <x:v>-2</x:v>
      </x:c>
      <x:c r="O901" s="11" t="n">
        <x:f aca="0">SUM(F901*1)</x:f>
        <x:v>0</x:v>
      </x:c>
      <x:c r="P901" s="11"/>
      <x:c r="Q901" s="11" t="str">
        <x:f aca="0">A901</x:f>
        <x:v>4E門板</x:v>
      </x:c>
      <x:c r="S901" s="1" t="n">
        <x:f aca="0">SUM(B901*2+C901*2)*F901</x:f>
        <x:v>0</x:v>
      </x:c>
      <x:c r="T901"/>
    </x:row>
    <x:row r="902" ht="22.200000762939453" hidden="0">
      <x:c r="A902" s="10" t="s">
        <x:v>30</x:v>
      </x:c>
      <x:c r="B902" s="10"/>
      <x:c r="C902" s="10"/>
      <x:c r="D902" s="10" t="n">
        <x:v>18</x:v>
      </x:c>
      <x:c r="E902" s="10"/>
      <x:c r="F902" s="10"/>
      <x:c r="G902" s="10"/>
      <x:c r="H902" s="10" t="n">
        <x:v>84</x:v>
      </x:c>
      <x:c r="I902" s="11" t="n">
        <x:f aca="0">ROUND((IF((B902*C902)/90000&lt;1,1))+IF((B902*C902)/90000&gt;=1,(B902*C902)/90000),1.1)</x:f>
        <x:v>1</x:v>
      </x:c>
      <x:c r="J902" s="11" t="n">
        <x:f aca="0">SUM(F902*I902)</x:f>
        <x:v>0</x:v>
      </x:c>
      <x:c r="K902" s="11" t="n">
        <x:f aca="0">SUM(H902*J902)</x:f>
        <x:v>0</x:v>
      </x:c>
      <x:c r="L902" s="11"/>
      <x:c r="M902" s="11" t="n">
        <x:f aca="0">SUM(C902-2)</x:f>
        <x:v>-2</x:v>
      </x:c>
      <x:c r="N902" s="11" t="n">
        <x:f aca="0">SUM(B902-2)</x:f>
        <x:v>-2</x:v>
      </x:c>
      <x:c r="O902" s="11" t="n">
        <x:f aca="0">SUM(F902*1)</x:f>
        <x:v>0</x:v>
      </x:c>
      <x:c r="P902" s="11"/>
      <x:c r="Q902" s="11" t="str">
        <x:f aca="0">A902</x:f>
        <x:v>假門板</x:v>
      </x:c>
      <x:c r="S902" s="1" t="n">
        <x:f aca="0">SUM(B902*2+C902*2)*F902</x:f>
        <x:v>0</x:v>
      </x:c>
      <x:c r="T902"/>
    </x:row>
    <x:row r="903" ht="22.200000762939453" hidden="0">
      <x:c r="A903" s="10" t="s">
        <x:v>31</x:v>
      </x:c>
      <x:c r="B903" s="10"/>
      <x:c r="C903" s="10"/>
      <x:c r="D903" s="10" t="n">
        <x:v>18</x:v>
      </x:c>
      <x:c r="E903" s="10"/>
      <x:c r="F903" s="10"/>
      <x:c r="G903" s="10"/>
      <x:c r="H903" s="10" t="n">
        <x:v>84</x:v>
      </x:c>
      <x:c r="I903" s="11" t="n">
        <x:f aca="0">ROUND((IF((B903*C903)/90000&lt;1,1))+IF((B903*C903)/90000&gt;=1,(B903*C903)/90000),1.1)</x:f>
        <x:v>1</x:v>
      </x:c>
      <x:c r="J903" s="11" t="n">
        <x:f aca="0">SUM(F903*I903)</x:f>
        <x:v>0</x:v>
      </x:c>
      <x:c r="K903" s="11" t="n">
        <x:f aca="0">SUM(H903*J903)</x:f>
        <x:v>0</x:v>
      </x:c>
      <x:c r="L903" s="11"/>
      <x:c r="M903" s="11" t="n">
        <x:f aca="0">SUM(C903-2)</x:f>
        <x:v>-2</x:v>
      </x:c>
      <x:c r="N903" s="11" t="n">
        <x:f aca="0">SUM(B903-2)</x:f>
        <x:v>-2</x:v>
      </x:c>
      <x:c r="O903" s="11" t="n">
        <x:f aca="0">SUM(F903*1)</x:f>
        <x:v>0</x:v>
      </x:c>
      <x:c r="P903" s="11"/>
      <x:c r="Q903" s="11" t="str">
        <x:f aca="0">A903</x:f>
        <x:v>屜頭</x:v>
      </x:c>
      <x:c r="S903" s="1" t="n">
        <x:f aca="0">SUM(B903*2+C903*2)*F903</x:f>
        <x:v>0</x:v>
      </x:c>
      <x:c r="T903"/>
    </x:row>
    <x:row r="904" ht="22.200000762939453" hidden="0">
      <x:c r="A904" s="10" t="s">
        <x:v>32</x:v>
      </x:c>
      <x:c r="B904" s="10"/>
      <x:c r="C904" s="10"/>
      <x:c r="D904" s="10" t="n">
        <x:v>18</x:v>
      </x:c>
      <x:c r="E904" s="10"/>
      <x:c r="F904" s="10"/>
      <x:c r="G904" s="10"/>
      <x:c r="H904" s="10" t="n">
        <x:v>74</x:v>
      </x:c>
      <x:c r="I904" s="11" t="n">
        <x:f aca="0">ROUND((IF((B904*C904)/90000&lt;1,1))+IF((B904*C904)/90000&gt;=1,(B904*C904)/90000),1.1)</x:f>
        <x:v>1</x:v>
      </x:c>
      <x:c r="J904" s="11" t="n">
        <x:f aca="0">SUM(F904*I904)</x:f>
        <x:v>0</x:v>
      </x:c>
      <x:c r="K904" s="11" t="n">
        <x:f aca="0">SUM(H904*J904)</x:f>
        <x:v>0</x:v>
      </x:c>
      <x:c r="L904" s="11"/>
      <x:c r="M904" s="11" t="n">
        <x:f aca="0">SUM(C904-1)</x:f>
        <x:v>-1</x:v>
      </x:c>
      <x:c r="N904" s="11" t="n">
        <x:f aca="0">SUM(B904)</x:f>
        <x:v>0</x:v>
      </x:c>
      <x:c r="O904" s="11" t="n">
        <x:f aca="0">SUM(F904*1)</x:f>
        <x:v>0</x:v>
      </x:c>
      <x:c r="P904" s="11"/>
      <x:c r="Q904" s="11" t="str">
        <x:f aca="0">A904</x:f>
        <x:v>推門</x:v>
      </x:c>
      <x:c r="R904" s="1" t="n">
        <x:f aca="0">SUM(B904*2+C904*2)*F904</x:f>
        <x:v>0</x:v>
      </x:c>
      <x:c r="T904"/>
    </x:row>
    <x:row r="905" ht="22.200000762939453" hidden="0">
      <x:c r="A905" s="10" t="s">
        <x:v>33</x:v>
      </x:c>
      <x:c r="B905" s="10"/>
      <x:c r="C905" s="10"/>
      <x:c r="D905" s="10" t="n">
        <x:v>18</x:v>
      </x:c>
      <x:c r="E905" s="10"/>
      <x:c r="F905" s="10"/>
      <x:c r="G905" s="10"/>
      <x:c r="H905" s="10" t="n">
        <x:v>74</x:v>
      </x:c>
      <x:c r="I905" s="11" t="n">
        <x:f aca="0">ROUND((IF((B905*C905)/90000&lt;1,1))+IF((B905*C905)/90000&gt;=1,(B905*C905)/90000),1.1)</x:f>
        <x:v>1</x:v>
      </x:c>
      <x:c r="J905" s="11" t="n">
        <x:f aca="0">SUM(F905*I905)</x:f>
        <x:v>0</x:v>
      </x:c>
      <x:c r="K905" s="11" t="n">
        <x:f aca="0">SUM(H905*J905)</x:f>
        <x:v>0</x:v>
      </x:c>
      <x:c r="L905" s="11"/>
      <x:c r="M905" s="11" t="n">
        <x:f aca="0">SUM(C905)</x:f>
        <x:v>0</x:v>
      </x:c>
      <x:c r="N905" s="11" t="n">
        <x:f aca="0">SUM(B905-1)</x:f>
        <x:v>-1</x:v>
      </x:c>
      <x:c r="O905" s="11" t="n">
        <x:f aca="0">SUM(F905*1)</x:f>
        <x:v>0</x:v>
      </x:c>
      <x:c r="P905" s="11"/>
      <x:c r="Q905" s="11" t="str">
        <x:f aca="0">A905</x:f>
        <x:v>側封板</x:v>
      </x:c>
      <x:c r="R905" s="1" t="n">
        <x:f aca="0">SUM(+C905*1)*F905</x:f>
        <x:v>0</x:v>
      </x:c>
      <x:c r="S905" s="1" t="n">
        <x:f aca="0">SUM(C905*1)*F905</x:f>
        <x:v>0</x:v>
      </x:c>
      <x:c r="T905"/>
    </x:row>
    <x:row r="906" ht="22.200000762939453" hidden="0">
      <x:c r="A906" s="10" t="s">
        <x:v>33</x:v>
      </x:c>
      <x:c r="B906" s="10"/>
      <x:c r="C906" s="10"/>
      <x:c r="D906" s="10" t="n">
        <x:v>18</x:v>
      </x:c>
      <x:c r="E906" s="10"/>
      <x:c r="F906" s="10"/>
      <x:c r="G906" s="10"/>
      <x:c r="H906" s="10" t="n">
        <x:v>74</x:v>
      </x:c>
      <x:c r="I906" s="11" t="n">
        <x:f aca="0">ROUND((IF((B906*C906)/90000&lt;1,1))+IF((B906*C906)/90000&gt;=1,(B906*C906)/90000),1.1)</x:f>
        <x:v>1</x:v>
      </x:c>
      <x:c r="J906" s="11" t="n">
        <x:f aca="0">SUM(F906*I906)</x:f>
        <x:v>0</x:v>
      </x:c>
      <x:c r="K906" s="11" t="n">
        <x:f aca="0">SUM(H906*J906)</x:f>
        <x:v>0</x:v>
      </x:c>
      <x:c r="L906" s="11"/>
      <x:c r="M906" s="11" t="n">
        <x:f aca="0">SUM(C906)</x:f>
        <x:v>0</x:v>
      </x:c>
      <x:c r="N906" s="11" t="n">
        <x:f aca="0">SUM(B906-1)</x:f>
        <x:v>-1</x:v>
      </x:c>
      <x:c r="O906" s="11" t="n">
        <x:f aca="0">SUM(F906*1)</x:f>
        <x:v>0</x:v>
      </x:c>
      <x:c r="P906" s="11"/>
      <x:c r="Q906" s="11" t="str">
        <x:f aca="0">A906</x:f>
        <x:v>側封板</x:v>
      </x:c>
      <x:c r="R906" s="1" t="n">
        <x:f aca="0">SUM(+C906*1)*F906</x:f>
        <x:v>0</x:v>
      </x:c>
      <x:c r="S906" s="1" t="n">
        <x:f aca="0">SUM(C906*1)*F906</x:f>
        <x:v>0</x:v>
      </x:c>
      <x:c r="T906"/>
    </x:row>
    <x:row r="907" ht="22.200000762939453" hidden="0">
      <x:c r="A907" s="10" t="s">
        <x:v>34</x:v>
      </x:c>
      <x:c r="B907" s="10"/>
      <x:c r="C907" s="10"/>
      <x:c r="D907" s="10" t="n">
        <x:v>18</x:v>
      </x:c>
      <x:c r="E907" s="10"/>
      <x:c r="F907" s="10"/>
      <x:c r="G907" s="10"/>
      <x:c r="H907" s="10" t="n">
        <x:v>74</x:v>
      </x:c>
      <x:c r="I907" s="11" t="n">
        <x:f aca="0">ROUND((IF((B907*C907)/90000&lt;1,1))+IF((B907*C907)/90000&gt;=1,(B907*C907)/90000),1.1)</x:f>
        <x:v>1</x:v>
      </x:c>
      <x:c r="J907" s="11" t="n">
        <x:f aca="0">SUM(F907*I907)</x:f>
        <x:v>0</x:v>
      </x:c>
      <x:c r="K907" s="11" t="n">
        <x:f aca="0">SUM(H907*J907)</x:f>
        <x:v>0</x:v>
      </x:c>
      <x:c r="L907" s="11"/>
      <x:c r="M907" s="11" t="n">
        <x:f aca="0">SUM(C907)</x:f>
        <x:v>0</x:v>
      </x:c>
      <x:c r="N907" s="11" t="n">
        <x:f aca="0">SUM(B907-1)</x:f>
        <x:v>-1</x:v>
      </x:c>
      <x:c r="O907" s="11" t="n">
        <x:f aca="0">SUM(F907*1)</x:f>
        <x:v>0</x:v>
      </x:c>
      <x:c r="P907" s="11"/>
      <x:c r="Q907" s="11" t="str">
        <x:f aca="0">A907</x:f>
        <x:v>軌道板</x:v>
      </x:c>
      <x:c r="R907" s="1" t="n">
        <x:f aca="0">SUM(+C907*1)*F907</x:f>
        <x:v>0</x:v>
      </x:c>
      <x:c r="S907" s="1" t="n">
        <x:f aca="0">SUM(C907*1)*F907</x:f>
        <x:v>0</x:v>
      </x:c>
      <x:c r="T907"/>
    </x:row>
    <x:row r="908" ht="22.200000762939453" hidden="0">
      <x:c r="A908" s="10" t="s">
        <x:v>34</x:v>
      </x:c>
      <x:c r="B908" s="10"/>
      <x:c r="C908" s="10"/>
      <x:c r="D908" s="10" t="n">
        <x:v>18</x:v>
      </x:c>
      <x:c r="E908" s="10"/>
      <x:c r="F908" s="10"/>
      <x:c r="G908" s="10"/>
      <x:c r="H908" s="10" t="n">
        <x:v>74</x:v>
      </x:c>
      <x:c r="I908" s="11" t="n">
        <x:f aca="0">ROUND((IF((B908*C908)/90000&lt;1,1))+IF((B908*C908)/90000&gt;=1,(B908*C908)/90000),1.1)</x:f>
        <x:v>1</x:v>
      </x:c>
      <x:c r="J908" s="11" t="n">
        <x:f aca="0">SUM(F908*I908)</x:f>
        <x:v>0</x:v>
      </x:c>
      <x:c r="K908" s="11" t="n">
        <x:f aca="0">SUM(H908*J908)</x:f>
        <x:v>0</x:v>
      </x:c>
      <x:c r="L908" s="11"/>
      <x:c r="M908" s="11" t="n">
        <x:f aca="0">SUM(C908)</x:f>
        <x:v>0</x:v>
      </x:c>
      <x:c r="N908" s="11" t="n">
        <x:f aca="0">SUM(B908-1)</x:f>
        <x:v>-1</x:v>
      </x:c>
      <x:c r="O908" s="11" t="n">
        <x:f aca="0">SUM(F908*1)</x:f>
        <x:v>0</x:v>
      </x:c>
      <x:c r="P908" s="11"/>
      <x:c r="Q908" s="11" t="str">
        <x:f aca="0">A908</x:f>
        <x:v>軌道板</x:v>
      </x:c>
      <x:c r="R908" s="1" t="n">
        <x:f aca="0">SUM(+C908*1)*F908</x:f>
        <x:v>0</x:v>
      </x:c>
      <x:c r="S908" s="1" t="n">
        <x:f aca="0">SUM(C908*1)*F908</x:f>
        <x:v>0</x:v>
      </x:c>
      <x:c r="T908"/>
    </x:row>
    <x:row r="909" ht="22.200000762939453" hidden="0">
      <x:c r="A909" s="10" t="s">
        <x:v>35</x:v>
      </x:c>
      <x:c r="B909" s="10"/>
      <x:c r="C909" s="10"/>
      <x:c r="D909" s="10" t="n">
        <x:v>18</x:v>
      </x:c>
      <x:c r="E909" s="10"/>
      <x:c r="F909" s="10"/>
      <x:c r="G909" s="10"/>
      <x:c r="H909" s="10" t="n">
        <x:v>69</x:v>
      </x:c>
      <x:c r="I909" s="11" t="n">
        <x:f aca="0">ROUND((IF((B909*C909)/90000&lt;1,1))+IF((B909*C909)/90000&gt;=1,(B909*C909)/90000),1.1)</x:f>
        <x:v>1</x:v>
      </x:c>
      <x:c r="J909" s="11" t="n">
        <x:f aca="0">SUM(F909*I909)</x:f>
        <x:v>0</x:v>
      </x:c>
      <x:c r="K909" s="11" t="n">
        <x:f aca="0">SUM(H909*J909)</x:f>
        <x:v>0</x:v>
      </x:c>
      <x:c r="L909" s="11"/>
      <x:c r="M909" s="11" t="n">
        <x:f aca="0">SUM(C909)</x:f>
        <x:v>0</x:v>
      </x:c>
      <x:c r="N909" s="11" t="n">
        <x:f aca="0">SUM(B909-1)</x:f>
        <x:v>-1</x:v>
      </x:c>
      <x:c r="O909" s="11" t="n">
        <x:f aca="0">SUM(F909*1)</x:f>
        <x:v>0</x:v>
      </x:c>
      <x:c r="P909" s="11"/>
      <x:c r="Q909" s="11" t="str">
        <x:f aca="0">A909</x:f>
        <x:v>擋板</x:v>
      </x:c>
      <x:c r="R909" s="1" t="n">
        <x:f aca="0">SUM(C909*2)*F909</x:f>
        <x:v>0</x:v>
      </x:c>
      <x:c r="T909"/>
    </x:row>
    <x:row r="910" ht="22.200000762939453" hidden="0">
      <x:c r="A910" s="10" t="s">
        <x:v>35</x:v>
      </x:c>
      <x:c r="B910" s="10"/>
      <x:c r="C910" s="10"/>
      <x:c r="D910" s="10" t="n">
        <x:v>18</x:v>
      </x:c>
      <x:c r="E910" s="10"/>
      <x:c r="F910" s="10"/>
      <x:c r="G910" s="10"/>
      <x:c r="H910" s="10" t="n">
        <x:v>69</x:v>
      </x:c>
      <x:c r="I910" s="11" t="n">
        <x:f aca="0">ROUND((IF((B910*C910)/90000&lt;1,1))+IF((B910*C910)/90000&gt;=1,(B910*C910)/90000),1.1)</x:f>
        <x:v>1</x:v>
      </x:c>
      <x:c r="J910" s="11" t="n">
        <x:f aca="0">SUM(F910*I910)</x:f>
        <x:v>0</x:v>
      </x:c>
      <x:c r="K910" s="11" t="n">
        <x:f aca="0">SUM(H910*J910)</x:f>
        <x:v>0</x:v>
      </x:c>
      <x:c r="L910" s="11"/>
      <x:c r="M910" s="11" t="n">
        <x:f aca="0">SUM(C910)</x:f>
        <x:v>0</x:v>
      </x:c>
      <x:c r="N910" s="11" t="n">
        <x:f aca="0">SUM(B910-1)</x:f>
        <x:v>-1</x:v>
      </x:c>
      <x:c r="O910" s="11" t="n">
        <x:f aca="0">SUM(F910*1)</x:f>
        <x:v>0</x:v>
      </x:c>
      <x:c r="P910" s="11"/>
      <x:c r="Q910" s="11" t="str">
        <x:f aca="0">A910</x:f>
        <x:v>擋板</x:v>
      </x:c>
      <x:c r="R910" s="1" t="n">
        <x:f aca="0">SUM(C910*2)*F910</x:f>
        <x:v>0</x:v>
      </x:c>
      <x:c r="T910"/>
    </x:row>
    <x:row r="911" ht="22.200000762939453" hidden="0">
      <x:c r="A911" s="10" t="s">
        <x:v>36</x:v>
      </x:c>
      <x:c r="B911" s="10"/>
      <x:c r="C911" s="10"/>
      <x:c r="D911" s="10" t="n">
        <x:v>8</x:v>
      </x:c>
      <x:c r="E911" s="10"/>
      <x:c r="F911" s="10"/>
      <x:c r="G911" s="10"/>
      <x:c r="H911" s="10" t="n">
        <x:v>69</x:v>
      </x:c>
      <x:c r="I911" s="11" t="n">
        <x:f aca="0">ROUND((IF((B911*C911)/90000&lt;1,1))+IF((B911*C911)/90000&gt;=1,(B911*C911)/90000),1.1)</x:f>
        <x:v>1</x:v>
      </x:c>
      <x:c r="J911" s="11" t="n">
        <x:f aca="0">SUM(F911*I911)</x:f>
        <x:v>0</x:v>
      </x:c>
      <x:c r="K911" s="11" t="n">
        <x:f aca="0">SUM(H911*J911)</x:f>
        <x:v>0</x:v>
      </x:c>
      <x:c r="L911" s="11"/>
      <x:c r="M911" s="11" t="n">
        <x:f aca="0">SUM(C911)</x:f>
        <x:v>0</x:v>
      </x:c>
      <x:c r="N911" s="11" t="n">
        <x:f aca="0">SUM(B911-1)</x:f>
        <x:v>-1</x:v>
      </x:c>
      <x:c r="O911" s="11" t="n">
        <x:f aca="0">SUM(F911*1)</x:f>
        <x:v>0</x:v>
      </x:c>
      <x:c r="P911" s="11"/>
      <x:c r="Q911" s="11" t="str">
        <x:f aca="0">A911</x:f>
        <x:v>襯板</x:v>
      </x:c>
      <x:c r="R911" s="1" t="n">
        <x:f aca="0">SUM(C911*2)*F911</x:f>
        <x:v>0</x:v>
      </x:c>
      <x:c r="T911"/>
    </x:row>
    <x:row r="912" ht="22.200000762939453" hidden="0">
      <x:c r="A912" s="10" t="s">
        <x:v>36</x:v>
      </x:c>
      <x:c r="B912" s="10"/>
      <x:c r="C912" s="10"/>
      <x:c r="D912" s="10" t="n">
        <x:v>8</x:v>
      </x:c>
      <x:c r="E912" s="10"/>
      <x:c r="F912" s="10"/>
      <x:c r="G912" s="10"/>
      <x:c r="H912" s="10" t="n">
        <x:v>69</x:v>
      </x:c>
      <x:c r="I912" s="11" t="n">
        <x:f aca="0">ROUND((IF((B912*C912)/90000&lt;1,1))+IF((B912*C912)/90000&gt;=1,(B912*C912)/90000),1.1)</x:f>
        <x:v>1</x:v>
      </x:c>
      <x:c r="J912" s="11" t="n">
        <x:f aca="0">SUM(F912*I912)</x:f>
        <x:v>0</x:v>
      </x:c>
      <x:c r="K912" s="11" t="n">
        <x:f aca="0">SUM(H912*J912)</x:f>
        <x:v>0</x:v>
      </x:c>
      <x:c r="L912" s="11"/>
      <x:c r="M912" s="11" t="n">
        <x:f aca="0">SUM(C912)</x:f>
        <x:v>0</x:v>
      </x:c>
      <x:c r="N912" s="11" t="n">
        <x:f aca="0">SUM(B912-1)</x:f>
        <x:v>-1</x:v>
      </x:c>
      <x:c r="O912" s="11" t="n">
        <x:f aca="0">SUM(F912*1)</x:f>
        <x:v>0</x:v>
      </x:c>
      <x:c r="P912" s="11"/>
      <x:c r="Q912" s="11" t="str">
        <x:f aca="0">A912</x:f>
        <x:v>襯板</x:v>
      </x:c>
      <x:c r="R912" s="1" t="n">
        <x:f aca="0">SUM(C912*2)*F912</x:f>
        <x:v>0</x:v>
      </x:c>
      <x:c r="T912"/>
    </x:row>
    <x:row r="913" ht="22.200000762939453" hidden="0">
      <x:c r="A913" s="10" t="s">
        <x:v>37</x:v>
      </x:c>
      <x:c r="B913" s="10"/>
      <x:c r="C913" s="10"/>
      <x:c r="D913" s="10" t="n">
        <x:v>8</x:v>
      </x:c>
      <x:c r="E913" s="10"/>
      <x:c r="F913" s="10"/>
      <x:c r="G913" s="10"/>
      <x:c r="H913" s="10" t="n">
        <x:v>50</x:v>
      </x:c>
      <x:c r="I913" s="11" t="n">
        <x:f aca="0">ROUND((IF((B913*C913)/90000&lt;1,1))+IF((B913*C913)/90000&gt;=1,(B913*C913)/90000),1.1)</x:f>
        <x:v>1</x:v>
      </x:c>
      <x:c r="J913" s="11" t="n">
        <x:f aca="0">SUM(F913*I913)</x:f>
        <x:v>0</x:v>
      </x:c>
      <x:c r="K913" s="11" t="n">
        <x:f aca="0">SUM(H913*J913)</x:f>
        <x:v>0</x:v>
      </x:c>
      <x:c r="L913" s="11"/>
      <x:c r="M913" s="11" t="n">
        <x:f aca="0">SUM(C913)</x:f>
        <x:v>0</x:v>
      </x:c>
      <x:c r="N913" s="11" t="n">
        <x:f aca="0">SUM(B913)</x:f>
        <x:v>0</x:v>
      </x:c>
      <x:c r="O913" s="11" t="n">
        <x:f aca="0">SUM(F913*1)</x:f>
        <x:v>0</x:v>
      </x:c>
      <x:c r="P913" s="11"/>
      <x:c r="Q913" s="11" t="str">
        <x:f aca="0">A913</x:f>
        <x:v>背板</x:v>
      </x:c>
      <x:c r="T913"/>
    </x:row>
    <x:row r="914" ht="22.200000762939453" hidden="0">
      <x:c r="A914" s="10" t="s">
        <x:v>37</x:v>
      </x:c>
      <x:c r="B914" s="10"/>
      <x:c r="C914" s="10"/>
      <x:c r="D914" s="10" t="n">
        <x:v>8</x:v>
      </x:c>
      <x:c r="E914" s="10"/>
      <x:c r="F914" s="10"/>
      <x:c r="G914" s="10"/>
      <x:c r="H914" s="10" t="n">
        <x:v>50</x:v>
      </x:c>
      <x:c r="I914" s="11" t="n">
        <x:f aca="0">ROUND((IF((B914*C914)/90000&lt;1,1))+IF((B914*C914)/90000&gt;=1,(B914*C914)/90000),1.1)</x:f>
        <x:v>1</x:v>
      </x:c>
      <x:c r="J914" s="11" t="n">
        <x:f aca="0">SUM(F914*I914)</x:f>
        <x:v>0</x:v>
      </x:c>
      <x:c r="K914" s="11" t="n">
        <x:f aca="0">SUM(H914*J914)</x:f>
        <x:v>0</x:v>
      </x:c>
      <x:c r="L914" s="11"/>
      <x:c r="M914" s="11" t="n">
        <x:f aca="0">SUM(C914)</x:f>
        <x:v>0</x:v>
      </x:c>
      <x:c r="N914" s="11" t="n">
        <x:f aca="0">SUM(B914)</x:f>
        <x:v>0</x:v>
      </x:c>
      <x:c r="O914" s="11" t="n">
        <x:f aca="0">SUM(F914*1)</x:f>
        <x:v>0</x:v>
      </x:c>
      <x:c r="P914" s="11"/>
      <x:c r="Q914" s="11" t="str">
        <x:f aca="0">A914</x:f>
        <x:v>背板</x:v>
      </x:c>
      <x:c r="T914"/>
    </x:row>
    <x:row r="915" ht="22.200000762939453" hidden="0">
      <x:c r="A915" s="10" t="s">
        <x:v>37</x:v>
      </x:c>
      <x:c r="B915" s="10"/>
      <x:c r="C915" s="10"/>
      <x:c r="D915" s="10" t="n">
        <x:v>8</x:v>
      </x:c>
      <x:c r="E915" s="10"/>
      <x:c r="F915" s="10"/>
      <x:c r="G915" s="10"/>
      <x:c r="H915" s="10" t="n">
        <x:v>50</x:v>
      </x:c>
      <x:c r="I915" s="11" t="n">
        <x:f aca="0">ROUND((IF((B915*C915)/90000&lt;1,1))+IF((B915*C915)/90000&gt;=1,(B915*C915)/90000),1.1)</x:f>
        <x:v>1</x:v>
      </x:c>
      <x:c r="J915" s="11" t="n">
        <x:f aca="0">SUM(F915*I915)</x:f>
        <x:v>0</x:v>
      </x:c>
      <x:c r="K915" s="11" t="n">
        <x:f aca="0">SUM(H915*J915)</x:f>
        <x:v>0</x:v>
      </x:c>
      <x:c r="L915" s="11"/>
      <x:c r="M915" s="11" t="n">
        <x:f aca="0">SUM(C915)</x:f>
        <x:v>0</x:v>
      </x:c>
      <x:c r="N915" s="11" t="n">
        <x:f aca="0">SUM(B915)</x:f>
        <x:v>0</x:v>
      </x:c>
      <x:c r="O915" s="11" t="n">
        <x:f aca="0">SUM(F915*1)</x:f>
        <x:v>0</x:v>
      </x:c>
      <x:c r="P915" s="11"/>
      <x:c r="Q915" s="11" t="str">
        <x:f aca="0">A915</x:f>
        <x:v>背板</x:v>
      </x:c>
      <x:c r="T915"/>
    </x:row>
    <x:row r="916" ht="22.200000762939453" hidden="0">
      <x:c r="A916" s="10" t="s">
        <x:v>37</x:v>
      </x:c>
      <x:c r="B916" s="10"/>
      <x:c r="C916" s="10"/>
      <x:c r="D916" s="10" t="n">
        <x:v>8</x:v>
      </x:c>
      <x:c r="E916" s="10"/>
      <x:c r="F916" s="10"/>
      <x:c r="G916" s="10"/>
      <x:c r="H916" s="10" t="n">
        <x:v>50</x:v>
      </x:c>
      <x:c r="I916" s="11" t="n">
        <x:f aca="0">ROUND((IF((B916*C916)/90000&lt;1,1))+IF((B916*C916)/90000&gt;=1,(B916*C916)/90000),1.1)</x:f>
        <x:v>1</x:v>
      </x:c>
      <x:c r="J916" s="11" t="n">
        <x:f aca="0">SUM(F916*I916)</x:f>
        <x:v>0</x:v>
      </x:c>
      <x:c r="K916" s="11" t="n">
        <x:f aca="0">SUM(H916*J916)</x:f>
        <x:v>0</x:v>
      </x:c>
      <x:c r="L916" s="11"/>
      <x:c r="M916" s="11" t="n">
        <x:f aca="0">SUM(C916)</x:f>
        <x:v>0</x:v>
      </x:c>
      <x:c r="N916" s="11" t="n">
        <x:f aca="0">SUM(B916)</x:f>
        <x:v>0</x:v>
      </x:c>
      <x:c r="O916" s="11" t="n">
        <x:f aca="0">SUM(F916*1)</x:f>
        <x:v>0</x:v>
      </x:c>
      <x:c r="P916" s="11"/>
      <x:c r="Q916" s="11" t="str">
        <x:f aca="0">A916</x:f>
        <x:v>背板</x:v>
      </x:c>
      <x:c r="T916"/>
    </x:row>
    <x:row r="917" ht="22.200000762939453" hidden="0">
      <x:c r="A917" s="10" t="s">
        <x:v>37</x:v>
      </x:c>
      <x:c r="B917" s="10"/>
      <x:c r="C917" s="10"/>
      <x:c r="D917" s="10" t="n">
        <x:v>8</x:v>
      </x:c>
      <x:c r="E917" s="10"/>
      <x:c r="F917" s="10"/>
      <x:c r="G917" s="10"/>
      <x:c r="H917" s="10" t="n">
        <x:v>50</x:v>
      </x:c>
      <x:c r="I917" s="11" t="n">
        <x:f aca="0">ROUND((IF((B917*C917)/90000&lt;1,1))+IF((B917*C917)/90000&gt;=1,(B917*C917)/90000),1.1)</x:f>
        <x:v>1</x:v>
      </x:c>
      <x:c r="J917" s="11" t="n">
        <x:f aca="0">SUM(F917*I917)</x:f>
        <x:v>0</x:v>
      </x:c>
      <x:c r="K917" s="11" t="n">
        <x:f aca="0">SUM(H917*J917)</x:f>
        <x:v>0</x:v>
      </x:c>
      <x:c r="L917" s="11"/>
      <x:c r="M917" s="11" t="n">
        <x:f aca="0">SUM(C917)</x:f>
        <x:v>0</x:v>
      </x:c>
      <x:c r="N917" s="11" t="n">
        <x:f aca="0">SUM(B917)</x:f>
        <x:v>0</x:v>
      </x:c>
      <x:c r="O917" s="11" t="n">
        <x:f aca="0">SUM(F917*1)</x:f>
        <x:v>0</x:v>
      </x:c>
      <x:c r="P917" s="11"/>
      <x:c r="Q917" s="11" t="str">
        <x:f aca="0">A917</x:f>
        <x:v>背板</x:v>
      </x:c>
      <x:c r="T917"/>
    </x:row>
    <x:row r="918" ht="22.200000762939453" hidden="0">
      <x:c r="A918" s="10" t="s">
        <x:v>38</x:v>
      </x:c>
      <x:c r="B918" s="10"/>
      <x:c r="C918" s="10"/>
      <x:c r="D918" s="10" t="n">
        <x:v>18</x:v>
      </x:c>
      <x:c r="E918" s="10"/>
      <x:c r="F918" s="10"/>
      <x:c r="G918" s="10"/>
      <x:c r="H918" s="10" t="n">
        <x:v>50</x:v>
      </x:c>
      <x:c r="I918" s="11" t="n">
        <x:f aca="0">ROUND((IF((B918*C918)/90000&lt;1,1))+IF((B918*C918)/90000&gt;=1,(B918*C918)/90000),1.1)</x:f>
        <x:v>1</x:v>
      </x:c>
      <x:c r="J918" s="11" t="n">
        <x:f aca="0">SUM(F918*I918)</x:f>
        <x:v>0</x:v>
      </x:c>
      <x:c r="K918" s="11" t="n">
        <x:f aca="0">SUM(H918*J918)</x:f>
        <x:v>0</x:v>
      </x:c>
      <x:c r="L918" s="11"/>
      <x:c r="M918" s="11" t="n">
        <x:f aca="0">SUM(C918)</x:f>
        <x:v>0</x:v>
      </x:c>
      <x:c r="N918" s="11" t="n">
        <x:f aca="0">SUM(B918)</x:f>
        <x:v>0</x:v>
      </x:c>
      <x:c r="O918" s="11" t="n">
        <x:f aca="0">SUM(F918*1)</x:f>
        <x:v>0</x:v>
      </x:c>
      <x:c r="P918" s="11"/>
      <x:c r="Q918" s="11" t="str">
        <x:f aca="0">A918</x:f>
        <x:v>踢腳板</x:v>
      </x:c>
      <x:c r="R918" s="1" t="n">
        <x:f aca="0">SUM(C918*1)*F918</x:f>
        <x:v>0</x:v>
      </x:c>
      <x:c r="T918"/>
    </x:row>
    <x:row r="919" ht="22.200000762939453" hidden="0">
      <x:c r="A919" s="10" t="s">
        <x:v>39</x:v>
      </x:c>
      <x:c r="B919" s="10"/>
      <x:c r="C919" s="10"/>
      <x:c r="D919" s="10" t="n">
        <x:v>25</x:v>
      </x:c>
      <x:c r="E919" s="10"/>
      <x:c r="F919" s="10"/>
      <x:c r="G919" s="10"/>
      <x:c r="H919" s="10" t="n">
        <x:v>126</x:v>
      </x:c>
      <x:c r="I919" s="11" t="n">
        <x:f aca="0">ROUND((IF((B919*C919)/90000&lt;1,1))+IF((B919*C919)/90000&gt;=1,(B919*C919)/90000),1.1)</x:f>
        <x:v>1</x:v>
      </x:c>
      <x:c r="J919" s="11" t="n">
        <x:f aca="0">SUM(F919*I919)</x:f>
        <x:v>0</x:v>
      </x:c>
      <x:c r="K919" s="11" t="n">
        <x:f aca="0">SUM(H919*J919)</x:f>
        <x:v>0</x:v>
      </x:c>
      <x:c r="L919" s="11"/>
      <x:c r="M919" s="11" t="n">
        <x:f aca="0">SUM(C919)</x:f>
        <x:v>0</x:v>
      </x:c>
      <x:c r="N919" s="11" t="n">
        <x:f aca="0">SUM(B919-1)</x:f>
        <x:v>-1</x:v>
      </x:c>
      <x:c r="O919" s="11" t="n">
        <x:f aca="0">SUM(F919*1)</x:f>
        <x:v>0</x:v>
      </x:c>
      <x:c r="P919" s="11"/>
      <x:c r="Q919" s="11" t="str">
        <x:f aca="0">A919</x:f>
        <x:v>檯面</x:v>
      </x:c>
      <x:c r="S919" s="1" t="n">
        <x:f aca="0">SUM(B919*2+C919*1)*F919</x:f>
        <x:v>0</x:v>
      </x:c>
      <x:c r="T919"/>
    </x:row>
    <x:row r="920" ht="22.200000762939453" hidden="0">
      <x:c r="A920" s="10" t="s">
        <x:v>40</x:v>
      </x:c>
      <x:c r="B920" s="10"/>
      <x:c r="C920" s="10"/>
      <x:c r="D920" s="10" t="n">
        <x:v>18</x:v>
      </x:c>
      <x:c r="E920" s="10"/>
      <x:c r="F920" s="10"/>
      <x:c r="G920" s="10"/>
      <x:c r="H920" s="10" t="n">
        <x:v>65</x:v>
      </x:c>
      <x:c r="I920" s="11" t="n">
        <x:f aca="0">ROUND((IF((B920*C920)/90000&lt;1,1))+IF((B920*C920)/90000&gt;=1,(B920*C920)/90000),1.1)</x:f>
        <x:v>1</x:v>
      </x:c>
      <x:c r="J920" s="11" t="n">
        <x:f aca="0">SUM(F920*I920)</x:f>
        <x:v>0</x:v>
      </x:c>
      <x:c r="K920" s="11" t="n">
        <x:f aca="0">SUM(H920*J920)</x:f>
        <x:v>0</x:v>
      </x:c>
      <x:c r="L920" s="11"/>
      <x:c r="M920" s="11" t="n">
        <x:f aca="0">SUM(C920)</x:f>
        <x:v>0</x:v>
      </x:c>
      <x:c r="N920" s="11" t="n">
        <x:f aca="0">SUM(B920)</x:f>
        <x:v>0</x:v>
      </x:c>
      <x:c r="O920" s="11" t="n">
        <x:f aca="0">SUM(F920*1)</x:f>
        <x:v>0</x:v>
      </x:c>
      <x:c r="P920" s="11"/>
      <x:c r="Q920" s="11" t="str">
        <x:f aca="0">A920</x:f>
        <x:v>背條</x:v>
      </x:c>
      <x:c r="T920"/>
    </x:row>
    <x:row r="921" ht="22.200000762939453" hidden="0">
      <x:c r="A921" s="10" t="s">
        <x:v>40</x:v>
      </x:c>
      <x:c r="B921" s="10"/>
      <x:c r="C921" s="10"/>
      <x:c r="D921" s="10" t="n">
        <x:v>18</x:v>
      </x:c>
      <x:c r="E921" s="10"/>
      <x:c r="F921" s="10"/>
      <x:c r="G921" s="10"/>
      <x:c r="H921" s="10" t="n">
        <x:v>65</x:v>
      </x:c>
      <x:c r="I921" s="11" t="n">
        <x:f aca="0">ROUND((IF((B921*C921)/90000&lt;1,1))+IF((B921*C921)/90000&gt;=1,(B921*C921)/90000),1.1)</x:f>
        <x:v>1</x:v>
      </x:c>
      <x:c r="J921" s="11" t="n">
        <x:f aca="0">SUM(F921*I921)</x:f>
        <x:v>0</x:v>
      </x:c>
      <x:c r="K921" s="11" t="n">
        <x:f aca="0">SUM(H921*J921)</x:f>
        <x:v>0</x:v>
      </x:c>
      <x:c r="L921" s="11"/>
      <x:c r="M921" s="11" t="n">
        <x:f aca="0">SUM(C921)</x:f>
        <x:v>0</x:v>
      </x:c>
      <x:c r="N921" s="11" t="n">
        <x:f aca="0">SUM(B921)</x:f>
        <x:v>0</x:v>
      </x:c>
      <x:c r="O921" s="11" t="n">
        <x:f aca="0">SUM(F921*1)</x:f>
        <x:v>0</x:v>
      </x:c>
      <x:c r="P921" s="11"/>
      <x:c r="Q921" s="11" t="str">
        <x:f aca="0">A921</x:f>
        <x:v>背條</x:v>
      </x:c>
      <x:c r="T921"/>
    </x:row>
    <x:row r="922" ht="22.200000762939453" hidden="0">
      <x:c r="A922" s="10" t="s">
        <x:v>40</x:v>
      </x:c>
      <x:c r="B922" s="10"/>
      <x:c r="C922" s="10"/>
      <x:c r="D922" s="10" t="n">
        <x:v>18</x:v>
      </x:c>
      <x:c r="E922" s="10"/>
      <x:c r="F922" s="10"/>
      <x:c r="G922" s="10"/>
      <x:c r="H922" s="10" t="n">
        <x:v>65</x:v>
      </x:c>
      <x:c r="I922" s="11" t="n">
        <x:f aca="0">ROUND((IF((B922*C922)/90000&lt;1,1))+IF((B922*C922)/90000&gt;=1,(B922*C922)/90000),1.1)</x:f>
        <x:v>1</x:v>
      </x:c>
      <x:c r="J922" s="11" t="n">
        <x:f aca="0">SUM(F922*I922)</x:f>
        <x:v>0</x:v>
      </x:c>
      <x:c r="K922" s="11" t="n">
        <x:f aca="0">SUM(H922*J922)</x:f>
        <x:v>0</x:v>
      </x:c>
      <x:c r="L922" s="11"/>
      <x:c r="M922" s="11" t="n">
        <x:f aca="0">SUM(C922)</x:f>
        <x:v>0</x:v>
      </x:c>
      <x:c r="N922" s="11" t="n">
        <x:f aca="0">SUM(B922)</x:f>
        <x:v>0</x:v>
      </x:c>
      <x:c r="O922" s="11" t="n">
        <x:f aca="0">SUM(F922*1)</x:f>
        <x:v>0</x:v>
      </x:c>
      <x:c r="P922" s="11"/>
      <x:c r="Q922" s="11" t="str">
        <x:f aca="0">A922</x:f>
        <x:v>背條</x:v>
      </x:c>
      <x:c r="T922"/>
    </x:row>
    <x:row r="923" ht="22.200000762939453" hidden="0">
      <x:c r="A923" s="10" t="s">
        <x:v>40</x:v>
      </x:c>
      <x:c r="B923" s="10"/>
      <x:c r="C923" s="10"/>
      <x:c r="D923" s="10" t="n">
        <x:v>18</x:v>
      </x:c>
      <x:c r="E923" s="10"/>
      <x:c r="F923" s="10"/>
      <x:c r="G923" s="10"/>
      <x:c r="H923" s="10" t="n">
        <x:v>65</x:v>
      </x:c>
      <x:c r="I923" s="11" t="n">
        <x:f aca="0">ROUND((IF((B923*C923)/90000&lt;1,1))+IF((B923*C923)/90000&gt;=1,(B923*C923)/90000),1.1)</x:f>
        <x:v>1</x:v>
      </x:c>
      <x:c r="J923" s="11" t="n">
        <x:f aca="0">SUM(F923*I923)</x:f>
        <x:v>0</x:v>
      </x:c>
      <x:c r="K923" s="11" t="n">
        <x:f aca="0">SUM(H923*J923)</x:f>
        <x:v>0</x:v>
      </x:c>
      <x:c r="L923" s="11"/>
      <x:c r="M923" s="11" t="n">
        <x:f aca="0">SUM(C923)</x:f>
        <x:v>0</x:v>
      </x:c>
      <x:c r="N923" s="11" t="n">
        <x:f aca="0">SUM(B923)</x:f>
        <x:v>0</x:v>
      </x:c>
      <x:c r="O923" s="11" t="n">
        <x:f aca="0">SUM(F923*1)</x:f>
        <x:v>0</x:v>
      </x:c>
      <x:c r="P923" s="11"/>
      <x:c r="Q923" s="11" t="str">
        <x:f aca="0">A923</x:f>
        <x:v>背條</x:v>
      </x:c>
      <x:c r="T923"/>
    </x:row>
    <x:row r="924" ht="22.200000762939453" hidden="0">
      <x:c r="A924" s="12" t="s">
        <x:v>41</x:v>
      </x:c>
      <x:c r="B924" s="10"/>
      <x:c r="C924" s="10"/>
      <x:c r="D924" s="10"/>
      <x:c r="E924" s="10"/>
      <x:c r="F924" s="10"/>
      <x:c r="G924" s="10"/>
      <x:c r="H924" s="10" t="n">
        <x:v>11</x:v>
      </x:c>
      <x:c r="I924" s="11"/>
      <x:c r="J924" s="11"/>
      <x:c r="K924" s="11" t="n">
        <x:f aca="0">SUM(F924*H924)</x:f>
        <x:v>0</x:v>
      </x:c>
      <x:c r="L924" s="11"/>
      <x:c r="M924" s="11"/>
      <x:c r="N924" s="11"/>
      <x:c r="O924" s="11"/>
      <x:c r="P924" s="11"/>
      <x:c r="Q924" s="11"/>
      <x:c r="T924"/>
    </x:row>
    <x:row r="925" ht="22.200000762939453" hidden="0">
      <x:c r="A925" s="12" t="s">
        <x:v>42</x:v>
      </x:c>
      <x:c r="B925" s="10"/>
      <x:c r="C925" s="10"/>
      <x:c r="D925" s="10"/>
      <x:c r="E925" s="10"/>
      <x:c r="F925" s="10"/>
      <x:c r="G925" s="10"/>
      <x:c r="H925" s="10" t="n">
        <x:v>9</x:v>
      </x:c>
      <x:c r="I925" s="11"/>
      <x:c r="J925" s="11"/>
      <x:c r="K925" s="11" t="n">
        <x:f aca="0">SUM(F925*H925)</x:f>
        <x:v>0</x:v>
      </x:c>
      <x:c r="L925" s="11"/>
      <x:c r="M925" s="11"/>
      <x:c r="N925" s="11"/>
      <x:c r="O925" s="11"/>
      <x:c r="P925" s="11"/>
      <x:c r="Q925" s="11"/>
      <x:c r="R925" s="9"/>
      <x:c r="S925" s="13"/>
      <x:c r="T925"/>
    </x:row>
    <x:row r="926" ht="22.200000762939453" hidden="0">
      <x:c r="A926" s="10" t="s">
        <x:v>43</x:v>
      </x:c>
      <x:c r="B926" s="10"/>
      <x:c r="C926" s="10"/>
      <x:c r="D926" s="10"/>
      <x:c r="E926" s="10"/>
      <x:c r="F926" s="10"/>
      <x:c r="G926" s="10"/>
      <x:c r="H926" s="10" t="n">
        <x:v>1</x:v>
      </x:c>
      <x:c r="I926" s="11"/>
      <x:c r="J926" s="11"/>
      <x:c r="K926" s="11" t="n">
        <x:f aca="0">SUM(F926*H926)</x:f>
        <x:v>0</x:v>
      </x:c>
      <x:c r="L926" s="11"/>
      <x:c r="M926" s="11"/>
      <x:c r="N926" s="11"/>
      <x:c r="O926" s="11"/>
      <x:c r="P926" s="11"/>
      <x:c r="Q926" s="11"/>
      <x:c r="T926"/>
    </x:row>
    <x:row r="927" ht="22.200000762939453" hidden="0">
      <x:c r="A927" s="10" t="s">
        <x:v>44</x:v>
      </x:c>
      <x:c r="B927" s="10"/>
      <x:c r="C927" s="10"/>
      <x:c r="D927" s="10"/>
      <x:c r="E927" s="10"/>
      <x:c r="F927" s="10"/>
      <x:c r="G927" s="10"/>
      <x:c r="H927" s="10" t="n">
        <x:v>11</x:v>
      </x:c>
      <x:c r="I927" s="11"/>
      <x:c r="J927" s="11"/>
      <x:c r="K927" s="11" t="n">
        <x:f aca="0">SUM(F927*H927)</x:f>
        <x:v>0</x:v>
      </x:c>
      <x:c r="L927" s="11"/>
      <x:c r="M927" s="11"/>
      <x:c r="N927" s="11"/>
      <x:c r="O927" s="11"/>
      <x:c r="P927" s="11"/>
      <x:c r="Q927" s="11"/>
      <x:c r="T927"/>
    </x:row>
    <x:row r="928" ht="22.200000762939453" hidden="0">
      <x:c r="A928" s="10" t="s">
        <x:v>45</x:v>
      </x:c>
      <x:c r="B928" s="10"/>
      <x:c r="C928" s="10"/>
      <x:c r="D928" s="10"/>
      <x:c r="E928" s="10"/>
      <x:c r="F928" s="10"/>
      <x:c r="G928" s="10"/>
      <x:c r="H928" s="10" t="n">
        <x:v>7</x:v>
      </x:c>
      <x:c r="I928" s="11"/>
      <x:c r="J928" s="11"/>
      <x:c r="K928" s="11" t="n">
        <x:f aca="0">SUM(F928*H928)</x:f>
        <x:v>0</x:v>
      </x:c>
      <x:c r="L928" s="11"/>
      <x:c r="M928" s="11"/>
      <x:c r="N928" s="11"/>
      <x:c r="O928" s="11"/>
      <x:c r="P928" s="11"/>
      <x:c r="Q928" s="11"/>
      <x:c r="T928"/>
    </x:row>
    <x:row r="929" ht="22.200000762939453" hidden="0">
      <x:c r="A929" s="12" t="s">
        <x:v>65</x:v>
      </x:c>
      <x:c r="B929" s="10"/>
      <x:c r="C929" s="10"/>
      <x:c r="D929" s="10"/>
      <x:c r="E929" s="10"/>
      <x:c r="F929" s="10"/>
      <x:c r="G929" s="10"/>
      <x:c r="H929" s="10" t="n">
        <x:v>50</x:v>
      </x:c>
      <x:c r="I929" s="11"/>
      <x:c r="J929" s="11"/>
      <x:c r="K929" s="11" t="n">
        <x:f aca="0">SUM(F929*H929)</x:f>
        <x:v>0</x:v>
      </x:c>
      <x:c r="L929" s="11"/>
      <x:c r="M929" s="11"/>
      <x:c r="N929" s="11"/>
      <x:c r="O929" s="11"/>
      <x:c r="P929" s="11"/>
      <x:c r="Q929" s="11"/>
      <x:c r="T929"/>
    </x:row>
    <x:row r="930" ht="22.200000762939453" hidden="0">
      <x:c r="A930" s="10" t="s">
        <x:v>47</x:v>
      </x:c>
      <x:c r="B930" s="10"/>
      <x:c r="C930" s="10"/>
      <x:c r="D930" s="10"/>
      <x:c r="E930" s="10"/>
      <x:c r="F930" s="10"/>
      <x:c r="G930" s="10"/>
      <x:c r="H930" s="10" t="n">
        <x:v>90</x:v>
      </x:c>
      <x:c r="I930" s="11"/>
      <x:c r="J930" s="11"/>
      <x:c r="K930" s="11" t="n">
        <x:f aca="0">SUM(F930*H930)</x:f>
        <x:v>0</x:v>
      </x:c>
      <x:c r="L930" s="11"/>
      <x:c r="M930" s="11"/>
      <x:c r="N930" s="11"/>
      <x:c r="O930" s="11"/>
      <x:c r="P930" s="11"/>
      <x:c r="Q930" s="11"/>
      <x:c r="T930"/>
    </x:row>
    <x:row r="931" ht="22.200000762939453" hidden="0">
      <x:c r="A931" s="10" t="s">
        <x:v>48</x:v>
      </x:c>
      <x:c r="B931" s="10"/>
      <x:c r="C931" s="10"/>
      <x:c r="D931" s="10"/>
      <x:c r="E931" s="10"/>
      <x:c r="F931" s="10"/>
      <x:c r="G931" s="10"/>
      <x:c r="H931" s="10" t="n">
        <x:v>275</x:v>
      </x:c>
      <x:c r="I931" s="11"/>
      <x:c r="J931" s="11"/>
      <x:c r="K931" s="11" t="n">
        <x:f aca="0">SUM(F931*H931)</x:f>
        <x:v>0</x:v>
      </x:c>
      <x:c r="L931" s="11"/>
      <x:c r="M931" s="11"/>
      <x:c r="N931" s="11"/>
      <x:c r="O931" s="11"/>
      <x:c r="P931" s="11"/>
      <x:c r="Q931" s="11"/>
      <x:c r="T931"/>
    </x:row>
    <x:row r="932" ht="22.200000762939453" hidden="0">
      <x:c r="A932" s="12" t="s">
        <x:v>49</x:v>
      </x:c>
      <x:c r="B932" s="10"/>
      <x:c r="C932" s="10"/>
      <x:c r="D932" s="10"/>
      <x:c r="E932" s="10"/>
      <x:c r="F932" s="10"/>
      <x:c r="G932" s="10"/>
      <x:c r="H932" s="10" t="n">
        <x:v>165</x:v>
      </x:c>
      <x:c r="I932" s="11"/>
      <x:c r="J932" s="11"/>
      <x:c r="K932" s="11" t="n">
        <x:f aca="0">SUM(F932*H932)</x:f>
        <x:v>0</x:v>
      </x:c>
      <x:c r="L932" s="11"/>
      <x:c r="M932" s="11"/>
      <x:c r="N932" s="11"/>
      <x:c r="O932" s="11"/>
      <x:c r="P932" s="11"/>
      <x:c r="Q932" s="11"/>
      <x:c r="T932"/>
    </x:row>
    <x:row r="933" ht="22.200000762939453" hidden="0">
      <x:c r="A933" s="12" t="s">
        <x:v>50</x:v>
      </x:c>
      <x:c r="B933" s="10"/>
      <x:c r="C933" s="10"/>
      <x:c r="D933" s="10"/>
      <x:c r="E933" s="10"/>
      <x:c r="F933" s="10"/>
      <x:c r="G933" s="10"/>
      <x:c r="H933" s="10"/>
      <x:c r="I933" s="11"/>
      <x:c r="J933" s="11"/>
      <x:c r="K933" s="11" t="n">
        <x:f aca="0">SUM(F933*H933)</x:f>
        <x:v>0</x:v>
      </x:c>
      <x:c r="L933" s="11"/>
      <x:c r="M933" s="11"/>
      <x:c r="N933" s="11"/>
      <x:c r="O933" s="11"/>
      <x:c r="P933" s="11"/>
      <x:c r="Q933" s="11"/>
      <x:c r="T933"/>
    </x:row>
    <x:row r="934" ht="22.200000762939453" hidden="0">
      <x:c r="A934" s="12" t="s">
        <x:v>51</x:v>
      </x:c>
      <x:c r="B934" s="10"/>
      <x:c r="C934" s="10"/>
      <x:c r="D934" s="10"/>
      <x:c r="E934" s="10"/>
      <x:c r="F934" s="10"/>
      <x:c r="G934" s="10"/>
      <x:c r="H934" s="10"/>
      <x:c r="I934" s="11"/>
      <x:c r="J934" s="11"/>
      <x:c r="K934" s="11" t="n">
        <x:f aca="0">SUM(F934*H934)</x:f>
        <x:v>0</x:v>
      </x:c>
      <x:c r="L934" s="11"/>
      <x:c r="M934" s="11"/>
      <x:c r="N934" s="11"/>
      <x:c r="O934" s="11"/>
      <x:c r="P934" s="11"/>
      <x:c r="Q934" s="11"/>
      <x:c r="T934"/>
    </x:row>
    <x:row r="935" ht="22.200000762939453" hidden="0">
      <x:c r="A935" s="12" t="s">
        <x:v>52</x:v>
      </x:c>
      <x:c r="B935" s="10"/>
      <x:c r="C935" s="10"/>
      <x:c r="D935" s="10"/>
      <x:c r="E935" s="10"/>
      <x:c r="F935" s="10"/>
      <x:c r="G935" s="10"/>
      <x:c r="H935" s="10"/>
      <x:c r="I935" s="11"/>
      <x:c r="J935" s="11"/>
      <x:c r="K935" s="11" t="n">
        <x:f aca="0">SUM(F935*H935)</x:f>
        <x:v>0</x:v>
      </x:c>
      <x:c r="L935" s="11"/>
      <x:c r="M935" s="11"/>
      <x:c r="N935" s="11"/>
      <x:c r="O935" s="11"/>
      <x:c r="P935" s="11"/>
      <x:c r="Q935" s="11"/>
      <x:c r="T935"/>
    </x:row>
    <x:row r="936" ht="22.200000762939453" hidden="0">
      <x:c r="A936" s="12" t="s">
        <x:v>53</x:v>
      </x:c>
      <x:c r="B936" s="10"/>
      <x:c r="C936" s="10"/>
      <x:c r="D936" s="10"/>
      <x:c r="E936" s="10"/>
      <x:c r="F936" s="10"/>
      <x:c r="G936" s="10"/>
      <x:c r="H936" s="10" t="n">
        <x:v>66</x:v>
      </x:c>
      <x:c r="I936" s="11"/>
      <x:c r="J936" s="11"/>
      <x:c r="K936" s="11" t="n">
        <x:f aca="0">SUM(F936*H936)</x:f>
        <x:v>0</x:v>
      </x:c>
      <x:c r="L936" s="11"/>
      <x:c r="M936" s="11"/>
      <x:c r="N936" s="11"/>
      <x:c r="O936" s="11"/>
      <x:c r="P936" s="11"/>
      <x:c r="Q936" s="11"/>
      <x:c r="T936"/>
    </x:row>
    <x:row r="937" ht="22.200000762939453" hidden="0">
      <x:c r="A937" s="10" t="s">
        <x:v>54</x:v>
      </x:c>
      <x:c r="B937" s="10"/>
      <x:c r="C937" s="10"/>
      <x:c r="D937" s="10"/>
      <x:c r="E937" s="10"/>
      <x:c r="F937" s="10"/>
      <x:c r="G937" s="10"/>
      <x:c r="H937" s="10" t="n">
        <x:v>220</x:v>
      </x:c>
      <x:c r="I937" s="11"/>
      <x:c r="J937" s="11"/>
      <x:c r="K937" s="11" t="n">
        <x:f aca="0">SUM(F937*H937)</x:f>
        <x:v>0</x:v>
      </x:c>
      <x:c r="L937" s="11"/>
      <x:c r="M937" s="11"/>
      <x:c r="N937" s="11"/>
      <x:c r="O937" s="11"/>
      <x:c r="P937" s="11"/>
      <x:c r="Q937" s="11"/>
      <x:c r="T937"/>
    </x:row>
    <x:row r="938" ht="22.200000762939453" hidden="0">
      <x:c r="A938" s="12" t="s">
        <x:v>55</x:v>
      </x:c>
      <x:c r="B938" s="10"/>
      <x:c r="C938" s="10"/>
      <x:c r="D938" s="10"/>
      <x:c r="E938" s="10"/>
      <x:c r="F938" s="10"/>
      <x:c r="G938" s="10"/>
      <x:c r="H938" s="10"/>
      <x:c r="I938" s="11"/>
      <x:c r="J938" s="11"/>
      <x:c r="K938" s="11" t="n">
        <x:f aca="0">SUM(F938*H938)</x:f>
        <x:v>0</x:v>
      </x:c>
      <x:c r="L938" s="11"/>
      <x:c r="M938" s="11"/>
      <x:c r="N938" s="11"/>
      <x:c r="O938" s="11"/>
      <x:c r="P938" s="11"/>
      <x:c r="Q938" s="11"/>
      <x:c r="T938"/>
    </x:row>
    <x:row r="939" ht="22.200000762939453" hidden="0">
      <x:c r="A939" s="10" t="s">
        <x:v>56</x:v>
      </x:c>
      <x:c r="B939" s="10"/>
      <x:c r="C939" s="10"/>
      <x:c r="D939" s="10"/>
      <x:c r="E939" s="10"/>
      <x:c r="F939" s="10"/>
      <x:c r="G939" s="10"/>
      <x:c r="H939" s="10" t="n">
        <x:v>800</x:v>
      </x:c>
      <x:c r="I939" s="11"/>
      <x:c r="J939" s="11"/>
      <x:c r="K939" s="11" t="n">
        <x:f aca="0">SUM(F939*H939)</x:f>
        <x:v>0</x:v>
      </x:c>
      <x:c r="L939" s="11"/>
      <x:c r="M939" s="11"/>
      <x:c r="N939" s="11"/>
      <x:c r="O939" s="11"/>
      <x:c r="P939" s="11"/>
      <x:c r="Q939" s="11"/>
      <x:c r="T939"/>
    </x:row>
    <x:row r="940" ht="22.200000762939453" hidden="0">
      <x:c r="A940" s="10" t="s">
        <x:v>57</x:v>
      </x:c>
      <x:c r="B940" s="10"/>
      <x:c r="C940" s="10"/>
      <x:c r="D940" s="10"/>
      <x:c r="E940" s="10"/>
      <x:c r="F940" s="10"/>
      <x:c r="G940" s="10"/>
      <x:c r="H940" s="10" t="n">
        <x:v>200</x:v>
      </x:c>
      <x:c r="I940" s="11"/>
      <x:c r="J940" s="11"/>
      <x:c r="K940" s="11" t="n">
        <x:f aca="0">SUM(F940*H940)</x:f>
        <x:v>0</x:v>
      </x:c>
      <x:c r="L940" s="11"/>
      <x:c r="M940" s="11"/>
      <x:c r="N940" s="11"/>
      <x:c r="O940" s="11"/>
      <x:c r="P940" s="11"/>
      <x:c r="Q940" s="11"/>
      <x:c r="T940"/>
    </x:row>
    <x:row r="941" ht="22.200000762939453" hidden="0">
      <x:c r="A941" s="10" t="s">
        <x:v>58</x:v>
      </x:c>
      <x:c r="B941" s="10"/>
      <x:c r="C941" s="10"/>
      <x:c r="D941" s="10"/>
      <x:c r="E941" s="10"/>
      <x:c r="F941" s="10"/>
      <x:c r="G941" s="10"/>
      <x:c r="H941" s="10" t="n">
        <x:v>150</x:v>
      </x:c>
      <x:c r="I941" s="11"/>
      <x:c r="J941" s="11"/>
      <x:c r="K941" s="11" t="n">
        <x:f aca="0">SUM(F941*H941)</x:f>
        <x:v>0</x:v>
      </x:c>
      <x:c r="L941" s="11"/>
      <x:c r="M941" s="11"/>
      <x:c r="N941" s="11"/>
      <x:c r="O941" s="11"/>
      <x:c r="P941" s="11"/>
      <x:c r="Q941" s="11"/>
      <x:c r="T941"/>
    </x:row>
    <x:row r="942" ht="22.200000762939453" hidden="0">
      <x:c r="A942" s="10" t="s">
        <x:v>59</x:v>
      </x:c>
      <x:c r="B942" s="10"/>
      <x:c r="C942" s="10"/>
      <x:c r="D942" s="10"/>
      <x:c r="E942" s="10"/>
      <x:c r="F942" s="10"/>
      <x:c r="G942" s="10"/>
      <x:c r="H942" s="10" t="n">
        <x:v>34</x:v>
      </x:c>
      <x:c r="I942" s="11"/>
      <x:c r="J942" s="11"/>
      <x:c r="K942" s="11" t="n">
        <x:f aca="0">SUM(F942*H942)</x:f>
        <x:v>0</x:v>
      </x:c>
      <x:c r="L942" s="11"/>
      <x:c r="M942" s="11"/>
      <x:c r="N942" s="11"/>
      <x:c r="O942" s="11"/>
      <x:c r="P942" s="11"/>
      <x:c r="Q942" s="11"/>
      <x:c r="T942"/>
    </x:row>
    <x:row r="943" ht="22.200000762939453" hidden="0">
      <x:c r="A943" s="10" t="s">
        <x:v>60</x:v>
      </x:c>
      <x:c r="B943" s="10"/>
      <x:c r="C943" s="10"/>
      <x:c r="D943" s="10"/>
      <x:c r="E943" s="10"/>
      <x:c r="F943" s="10"/>
      <x:c r="G943" s="10"/>
      <x:c r="H943" s="10" t="n">
        <x:v>6</x:v>
      </x:c>
      <x:c r="I943" s="11"/>
      <x:c r="J943" s="11"/>
      <x:c r="K943" s="11" t="n">
        <x:f aca="0">SUM(F943*H943)</x:f>
        <x:v>0</x:v>
      </x:c>
      <x:c r="L943" s="11"/>
      <x:c r="M943" s="11"/>
      <x:c r="N943" s="11"/>
      <x:c r="O943" s="11"/>
      <x:c r="P943" s="11"/>
      <x:c r="Q943" s="11"/>
      <x:c r="T943"/>
    </x:row>
    <x:row r="944" ht="22.200000762939453" hidden="0">
      <x:c r="A944" s="10" t="s">
        <x:v>61</x:v>
      </x:c>
      <x:c r="B944" s="10"/>
      <x:c r="C944" s="10"/>
      <x:c r="D944" s="10"/>
      <x:c r="E944" s="10"/>
      <x:c r="F944" s="10"/>
      <x:c r="G944" s="10"/>
      <x:c r="H944" s="10" t="n">
        <x:v>670</x:v>
      </x:c>
      <x:c r="I944" s="11"/>
      <x:c r="J944" s="11"/>
      <x:c r="K944" s="11" t="n">
        <x:f aca="0">SUM(F944*H944)</x:f>
        <x:v>0</x:v>
      </x:c>
      <x:c r="L944" s="11"/>
      <x:c r="M944" s="11"/>
      <x:c r="N944" s="11"/>
      <x:c r="O944" s="11"/>
      <x:c r="P944" s="11"/>
      <x:c r="Q944" s="11"/>
      <x:c r="T944"/>
    </x:row>
    <x:row r="945" ht="22.200000762939453" hidden="0">
      <x:c r="A945" s="10" t="s">
        <x:v>62</x:v>
      </x:c>
      <x:c r="B945" s="10"/>
      <x:c r="C945" s="10"/>
      <x:c r="D945" s="10"/>
      <x:c r="E945" s="10"/>
      <x:c r="F945" s="10"/>
      <x:c r="G945" s="10"/>
      <x:c r="H945" s="10" t="n">
        <x:v>110</x:v>
      </x:c>
      <x:c r="I945" s="11"/>
      <x:c r="J945" s="11"/>
      <x:c r="K945" s="11" t="n">
        <x:f aca="0">SUM(F945*H945)</x:f>
        <x:v>0</x:v>
      </x:c>
      <x:c r="L945" s="11"/>
      <x:c r="M945" s="11"/>
      <x:c r="N945" s="11"/>
      <x:c r="O945" s="11"/>
      <x:c r="P945" s="11"/>
      <x:c r="Q945" s="11"/>
      <x:c r="T945"/>
    </x:row>
    <x:row r="946" ht="22.200000762939453" hidden="0">
      <x:c r="A946" s="10" t="s">
        <x:v>63</x:v>
      </x:c>
      <x:c r="B946" s="10"/>
      <x:c r="C946" s="10"/>
      <x:c r="D946" s="10"/>
      <x:c r="E946" s="10"/>
      <x:c r="F946" s="10"/>
      <x:c r="G946" s="10"/>
      <x:c r="H946" s="10"/>
      <x:c r="I946" s="11"/>
      <x:c r="J946" s="11"/>
      <x:c r="K946" s="11" t="n">
        <x:f aca="0">SUM(F946*H946)</x:f>
        <x:v>0</x:v>
      </x:c>
      <x:c r="L946" s="11"/>
      <x:c r="M946" s="11"/>
      <x:c r="N946" s="11"/>
      <x:c r="O946" s="11"/>
      <x:c r="P946" s="11"/>
      <x:c r="Q946" s="11"/>
      <x:c r="T946"/>
    </x:row>
    <x:row r="947" ht="22.200000762939453" hidden="0">
      <x:c r="A947" s="10"/>
      <x:c r="B947" s="10"/>
      <x:c r="C947" s="10"/>
      <x:c r="D947" s="10"/>
      <x:c r="E947" s="10"/>
      <x:c r="F947" s="10"/>
      <x:c r="G947" s="10"/>
      <x:c r="H947" s="10"/>
      <x:c r="I947" s="11"/>
      <x:c r="J947" s="11"/>
      <x:c r="K947" s="11" t="n">
        <x:f aca="0">SUM(F947*H947)</x:f>
        <x:v>0</x:v>
      </x:c>
      <x:c r="L947" s="11"/>
      <x:c r="M947" s="11"/>
      <x:c r="N947" s="11"/>
      <x:c r="O947" s="11"/>
      <x:c r="P947" s="11"/>
      <x:c r="Q947" s="11"/>
      <x:c r="T947"/>
    </x:row>
    <x:row r="948" ht="22.200000762939453" hidden="0">
      <x:c r="A948" s="15"/>
      <x:c r="B948" s="15"/>
      <x:c r="C948" s="15"/>
      <x:c r="D948" s="15"/>
      <x:c r="E948" s="15"/>
      <x:c r="F948" s="15"/>
      <x:c r="G948" s="15"/>
      <x:c r="H948" s="15"/>
      <x:c r="I948" s="11" t="n">
        <x:f aca="0">SUM(B948*C948)/90000</x:f>
        <x:v>0</x:v>
      </x:c>
      <x:c r="J948" s="15" t="s">
        <x:v>17</x:v>
      </x:c>
      <x:c r="K948" s="16" t="n">
        <x:f aca="0">SUM(K875:K947)</x:f>
        <x:v>0</x:v>
      </x:c>
      <x:c r="L948" s="16" t="n">
        <x:f aca="0">SUM(K948*1.35)</x:f>
        <x:v>0</x:v>
      </x:c>
      <x:c r="M948" s="16"/>
      <x:c r="N948" s="16" t="n">
        <x:f aca="0">SUM(M948*1.25)</x:f>
        <x:v>0</x:v>
      </x:c>
      <x:c r="O948" s="16"/>
      <x:c r="P948" s="16"/>
      <x:c r="Q948" s="16"/>
      <x:c r="T948"/>
    </x:row>
    <x:row r="952" ht="22.200000762939453" hidden="0">
      <x:c r="A952" s="5"/>
      <x:c r="B952" s="5"/>
      <x:c r="C952" s="5"/>
      <x:c r="D952" s="5"/>
      <x:c r="E952" s="5"/>
      <x:c r="F952" s="5"/>
      <x:c r="G952" s="6"/>
      <x:c r="H952" s="5"/>
      <x:c r="I952" s="3"/>
      <x:c r="J952" s="3"/>
      <x:c r="K952" s="4"/>
      <x:c r="L952" s="4"/>
      <x:c r="M952" s="4"/>
      <x:c r="N952" s="4"/>
      <x:c r="O952" s="4"/>
      <x:c r="P952" s="4"/>
      <x:c r="Q952" s="4"/>
      <x:c r="R952" s="4"/>
    </x:row>
    <x:row r="953" ht="22.200000762939453" hidden="0">
      <x:c r="A953" s="7" t="s">
        <x:v>3</x:v>
      </x:c>
      <x:c r="B953" s="8" t="s">
        <x:v>4</x:v>
      </x:c>
      <x:c r="C953" s="8"/>
      <x:c r="D953" s="7" t="s">
        <x:v>5</x:v>
      </x:c>
      <x:c r="E953" s="7"/>
      <x:c r="F953" s="7" t="s">
        <x:v>6</x:v>
      </x:c>
      <x:c r="G953" s="7"/>
      <x:c r="H953" s="7" t="s">
        <x:v>7</x:v>
      </x:c>
      <x:c r="I953" s="7" t="s">
        <x:v>8</x:v>
      </x:c>
      <x:c r="J953" s="7" t="s">
        <x:v>9</x:v>
      </x:c>
      <x:c r="K953" s="7" t="s">
        <x:v>10</x:v>
      </x:c>
      <x:c r="L953" s="7"/>
      <x:c r="M953" s="7" t="s">
        <x:v>11</x:v>
      </x:c>
      <x:c r="N953" s="7" t="s">
        <x:v>12</x:v>
      </x:c>
      <x:c r="O953" s="7" t="s">
        <x:v>6</x:v>
      </x:c>
      <x:c r="P953" s="7" t="s">
        <x:v>13</x:v>
      </x:c>
      <x:c r="Q953" s="7" t="s">
        <x:v>14</x:v>
      </x:c>
      <x:c r="R953" s="9" t="s">
        <x:v>15</x:v>
      </x:c>
      <x:c r="S953" s="9" t="s">
        <x:v>16</x:v>
      </x:c>
      <x:c r="T953"/>
    </x:row>
    <x:row r="954" ht="22.200000762939453" hidden="0">
      <x:c r="A954" s="10" t="s">
        <x:v>18</x:v>
      </x:c>
      <x:c r="B954" s="10"/>
      <x:c r="C954" s="10"/>
      <x:c r="D954" s="10" t="n">
        <x:v>18</x:v>
      </x:c>
      <x:c r="E954" s="10"/>
      <x:c r="F954" s="10"/>
      <x:c r="G954" s="10"/>
      <x:c r="H954" s="10" t="n">
        <x:v>69</x:v>
      </x:c>
      <x:c r="I954" s="11" t="n">
        <x:f aca="0">ROUND((IF((B954*C954)/90000&lt;1,1))+IF((B954*C954)/90000&gt;=1,(B954*C954)/90000),1.1)</x:f>
        <x:v>1</x:v>
      </x:c>
      <x:c r="J954" s="11" t="n">
        <x:f aca="0">SUM(F954*I954)</x:f>
        <x:v>0</x:v>
      </x:c>
      <x:c r="K954" s="11" t="n">
        <x:f aca="0">SUM(H954*J954)</x:f>
        <x:v>0</x:v>
      </x:c>
      <x:c r="L954" s="11"/>
      <x:c r="M954" s="11" t="n">
        <x:f aca="0">SUM(C954-1)</x:f>
        <x:v>-1</x:v>
      </x:c>
      <x:c r="N954" s="11" t="n">
        <x:f aca="0">SUM(B954-1)</x:f>
        <x:v>-1</x:v>
      </x:c>
      <x:c r="O954" s="11" t="n">
        <x:f aca="0">SUM(F954*1)</x:f>
        <x:v>0</x:v>
      </x:c>
      <x:c r="P954" s="11"/>
      <x:c r="Q954" s="11" t="str">
        <x:f aca="0">A954</x:f>
        <x:v>側板</x:v>
      </x:c>
      <x:c r="R954" s="1" t="n">
        <x:f aca="0">SUM(B954*2+C954*2)*F954</x:f>
        <x:v>0</x:v>
      </x:c>
      <x:c r="T954"/>
    </x:row>
    <x:row r="955" ht="22.200000762939453" hidden="0">
      <x:c r="A955" s="10" t="s">
        <x:v>18</x:v>
      </x:c>
      <x:c r="B955" s="10"/>
      <x:c r="C955" s="10"/>
      <x:c r="D955" s="10" t="n">
        <x:v>18</x:v>
      </x:c>
      <x:c r="E955" s="10"/>
      <x:c r="F955" s="10"/>
      <x:c r="G955" s="10"/>
      <x:c r="H955" s="10" t="n">
        <x:v>69</x:v>
      </x:c>
      <x:c r="I955" s="11" t="n">
        <x:f aca="0">ROUND((IF((B955*C955)/90000&lt;1,1))+IF((B955*C955)/90000&gt;=1,(B955*C955)/90000),1.1)</x:f>
        <x:v>1</x:v>
      </x:c>
      <x:c r="J955" s="11" t="n">
        <x:f aca="0">SUM(F955*I955)</x:f>
        <x:v>0</x:v>
      </x:c>
      <x:c r="K955" s="11" t="n">
        <x:f aca="0">SUM(H955*J955)</x:f>
        <x:v>0</x:v>
      </x:c>
      <x:c r="L955" s="11"/>
      <x:c r="M955" s="11" t="n">
        <x:f aca="0">SUM(C955-1)</x:f>
        <x:v>-1</x:v>
      </x:c>
      <x:c r="N955" s="11" t="n">
        <x:f aca="0">SUM(B955-1)</x:f>
        <x:v>-1</x:v>
      </x:c>
      <x:c r="O955" s="11" t="n">
        <x:f aca="0">SUM(F955*1)</x:f>
        <x:v>0</x:v>
      </x:c>
      <x:c r="P955" s="11"/>
      <x:c r="Q955" s="11" t="str">
        <x:f aca="0">A955</x:f>
        <x:v>側板</x:v>
      </x:c>
      <x:c r="R955" s="1" t="n">
        <x:f aca="0">SUM(B955*2+C955*2)*F955</x:f>
        <x:v>0</x:v>
      </x:c>
      <x:c r="T955"/>
    </x:row>
    <x:row r="956" ht="22.200000762939453" hidden="0">
      <x:c r="A956" s="10" t="s">
        <x:v>18</x:v>
      </x:c>
      <x:c r="B956" s="10"/>
      <x:c r="C956" s="10"/>
      <x:c r="D956" s="10" t="n">
        <x:v>18</x:v>
      </x:c>
      <x:c r="E956" s="10"/>
      <x:c r="F956" s="10"/>
      <x:c r="G956" s="10"/>
      <x:c r="H956" s="10" t="n">
        <x:v>69</x:v>
      </x:c>
      <x:c r="I956" s="11" t="n">
        <x:f aca="0">ROUND((IF((B956*C956)/90000&lt;1,1))+IF((B956*C956)/90000&gt;=1,(B956*C956)/90000),1.1)</x:f>
        <x:v>1</x:v>
      </x:c>
      <x:c r="J956" s="11" t="n">
        <x:f aca="0">SUM(F956*I956)</x:f>
        <x:v>0</x:v>
      </x:c>
      <x:c r="K956" s="11" t="n">
        <x:f aca="0">SUM(H956*J956)</x:f>
        <x:v>0</x:v>
      </x:c>
      <x:c r="L956" s="11"/>
      <x:c r="M956" s="11" t="n">
        <x:f aca="0">SUM(C956-1)</x:f>
        <x:v>-1</x:v>
      </x:c>
      <x:c r="N956" s="11" t="n">
        <x:f aca="0">SUM(B956-1)</x:f>
        <x:v>-1</x:v>
      </x:c>
      <x:c r="O956" s="11" t="n">
        <x:f aca="0">SUM(F956*1)</x:f>
        <x:v>0</x:v>
      </x:c>
      <x:c r="P956" s="11"/>
      <x:c r="Q956" s="11" t="str">
        <x:f aca="0">A956</x:f>
        <x:v>側板</x:v>
      </x:c>
      <x:c r="R956" s="1" t="n">
        <x:f aca="0">SUM(B956*2+C956*2)*F956</x:f>
        <x:v>0</x:v>
      </x:c>
      <x:c r="T956"/>
    </x:row>
    <x:row r="957" ht="22.200000762939453" hidden="0">
      <x:c r="A957" s="10" t="s">
        <x:v>19</x:v>
      </x:c>
      <x:c r="B957" s="10"/>
      <x:c r="C957" s="10"/>
      <x:c r="D957" s="10" t="n">
        <x:v>18</x:v>
      </x:c>
      <x:c r="E957" s="10"/>
      <x:c r="F957" s="10"/>
      <x:c r="G957" s="10"/>
      <x:c r="H957" s="10" t="n">
        <x:v>69</x:v>
      </x:c>
      <x:c r="I957" s="11" t="n">
        <x:f aca="0">ROUND((IF((B957*C957)/90000&lt;1,1))+IF((B957*C957)/90000&gt;=1,(B957*C957)/90000),1.1)</x:f>
        <x:v>1</x:v>
      </x:c>
      <x:c r="J957" s="11" t="n">
        <x:f aca="0">SUM(F957*I957)</x:f>
        <x:v>0</x:v>
      </x:c>
      <x:c r="K957" s="11" t="n">
        <x:f aca="0">SUM(H957*J957)</x:f>
        <x:v>0</x:v>
      </x:c>
      <x:c r="L957" s="11"/>
      <x:c r="M957" s="11" t="n">
        <x:f aca="0">SUM(C957)</x:f>
        <x:v>0</x:v>
      </x:c>
      <x:c r="N957" s="11" t="n">
        <x:f aca="0">SUM(B957-1)</x:f>
        <x:v>-1</x:v>
      </x:c>
      <x:c r="O957" s="11" t="n">
        <x:f aca="0">SUM(F957*1)</x:f>
        <x:v>0</x:v>
      </x:c>
      <x:c r="P957" s="11"/>
      <x:c r="Q957" s="11" t="str">
        <x:f aca="0">A957</x:f>
        <x:v>頂底板</x:v>
      </x:c>
      <x:c r="R957" s="1" t="n">
        <x:f aca="0">SUM(C957*2)*F957</x:f>
        <x:v>0</x:v>
      </x:c>
      <x:c r="T957"/>
    </x:row>
    <x:row r="958" ht="22.200000762939453" hidden="0">
      <x:c r="A958" s="10" t="s">
        <x:v>19</x:v>
      </x:c>
      <x:c r="B958" s="10"/>
      <x:c r="C958" s="10"/>
      <x:c r="D958" s="10" t="n">
        <x:v>18</x:v>
      </x:c>
      <x:c r="E958" s="10"/>
      <x:c r="F958" s="10"/>
      <x:c r="G958" s="10"/>
      <x:c r="H958" s="10" t="n">
        <x:v>69</x:v>
      </x:c>
      <x:c r="I958" s="11" t="n">
        <x:f aca="0">ROUND((IF((B958*C958)/90000&lt;1,1))+IF((B958*C958)/90000&gt;=1,(B958*C958)/90000),1.1)</x:f>
        <x:v>1</x:v>
      </x:c>
      <x:c r="J958" s="11" t="n">
        <x:f aca="0">SUM(F958*I958)</x:f>
        <x:v>0</x:v>
      </x:c>
      <x:c r="K958" s="11" t="n">
        <x:f aca="0">SUM(H958*J958)</x:f>
        <x:v>0</x:v>
      </x:c>
      <x:c r="L958" s="11"/>
      <x:c r="M958" s="11" t="n">
        <x:f aca="0">SUM(C958)</x:f>
        <x:v>0</x:v>
      </x:c>
      <x:c r="N958" s="11" t="n">
        <x:f aca="0">SUM(B958-1)</x:f>
        <x:v>-1</x:v>
      </x:c>
      <x:c r="O958" s="11" t="n">
        <x:f aca="0">SUM(F958*1)</x:f>
        <x:v>0</x:v>
      </x:c>
      <x:c r="P958" s="11"/>
      <x:c r="Q958" s="11" t="str">
        <x:f aca="0">A958</x:f>
        <x:v>頂底板</x:v>
      </x:c>
      <x:c r="R958" s="1" t="n">
        <x:f aca="0">SUM(C958*2)*F958</x:f>
        <x:v>0</x:v>
      </x:c>
      <x:c r="T958"/>
    </x:row>
    <x:row r="959" ht="22.200000762939453" hidden="0">
      <x:c r="A959" s="10" t="s">
        <x:v>19</x:v>
      </x:c>
      <x:c r="B959" s="10"/>
      <x:c r="C959" s="10"/>
      <x:c r="D959" s="10" t="n">
        <x:v>18</x:v>
      </x:c>
      <x:c r="E959" s="10"/>
      <x:c r="F959" s="10"/>
      <x:c r="G959" s="10"/>
      <x:c r="H959" s="10" t="n">
        <x:v>69</x:v>
      </x:c>
      <x:c r="I959" s="11" t="n">
        <x:f aca="0">ROUND((IF((B959*C959)/90000&lt;1,1))+IF((B959*C959)/90000&gt;=1,(B959*C959)/90000),1.1)</x:f>
        <x:v>1</x:v>
      </x:c>
      <x:c r="J959" s="11" t="n">
        <x:f aca="0">SUM(F959*I959)</x:f>
        <x:v>0</x:v>
      </x:c>
      <x:c r="K959" s="11" t="n">
        <x:f aca="0">SUM(H959*J959)</x:f>
        <x:v>0</x:v>
      </x:c>
      <x:c r="L959" s="11"/>
      <x:c r="M959" s="11" t="n">
        <x:f aca="0">SUM(C959)</x:f>
        <x:v>0</x:v>
      </x:c>
      <x:c r="N959" s="11" t="n">
        <x:f aca="0">SUM(B959-1)</x:f>
        <x:v>-1</x:v>
      </x:c>
      <x:c r="O959" s="11" t="n">
        <x:f aca="0">SUM(F959*1)</x:f>
        <x:v>0</x:v>
      </x:c>
      <x:c r="P959" s="11"/>
      <x:c r="Q959" s="11" t="str">
        <x:f aca="0">A959</x:f>
        <x:v>頂底板</x:v>
      </x:c>
      <x:c r="R959" s="1" t="n">
        <x:f aca="0">SUM(C959*2)*F959</x:f>
        <x:v>0</x:v>
      </x:c>
      <x:c r="T959"/>
    </x:row>
    <x:row r="960" ht="22.200000762939453" hidden="0">
      <x:c r="A960" s="10" t="s">
        <x:v>20</x:v>
      </x:c>
      <x:c r="B960" s="10"/>
      <x:c r="C960" s="10"/>
      <x:c r="D960" s="10" t="n">
        <x:v>18</x:v>
      </x:c>
      <x:c r="E960" s="10"/>
      <x:c r="F960" s="10"/>
      <x:c r="G960" s="10"/>
      <x:c r="H960" s="10" t="n">
        <x:v>74</x:v>
      </x:c>
      <x:c r="I960" s="11" t="n">
        <x:f aca="0">ROUND((IF((B960*C960)/90000&lt;1,1))+IF((B960*C960)/90000&gt;=1,(B960*C960)/90000),1.1)</x:f>
        <x:v>1</x:v>
      </x:c>
      <x:c r="J960" s="11" t="n">
        <x:f aca="0">SUM(F960*I960)</x:f>
        <x:v>0</x:v>
      </x:c>
      <x:c r="K960" s="11" t="n">
        <x:f aca="0">SUM(H960*J960)</x:f>
        <x:v>0</x:v>
      </x:c>
      <x:c r="L960" s="11"/>
      <x:c r="M960" s="11" t="n">
        <x:f aca="0">SUM(C960)</x:f>
        <x:v>0</x:v>
      </x:c>
      <x:c r="N960" s="11" t="n">
        <x:f aca="0">SUM(B960-1)</x:f>
        <x:v>-1</x:v>
      </x:c>
      <x:c r="O960" s="11" t="n">
        <x:f aca="0">SUM(F960*1)</x:f>
        <x:v>0</x:v>
      </x:c>
      <x:c r="P960" s="11"/>
      <x:c r="Q960" s="11" t="str">
        <x:f aca="0">A960</x:f>
        <x:v>中立板</x:v>
      </x:c>
      <x:c r="R960" s="1" t="n">
        <x:f aca="0">SUM(C960*1)*F960</x:f>
        <x:v>0</x:v>
      </x:c>
      <x:c r="T960"/>
    </x:row>
    <x:row r="961" ht="22.200000762939453" hidden="0">
      <x:c r="A961" s="10" t="s">
        <x:v>20</x:v>
      </x:c>
      <x:c r="B961" s="10"/>
      <x:c r="C961" s="10"/>
      <x:c r="D961" s="10" t="n">
        <x:v>18</x:v>
      </x:c>
      <x:c r="E961" s="10"/>
      <x:c r="F961" s="10"/>
      <x:c r="G961" s="10"/>
      <x:c r="H961" s="10" t="n">
        <x:v>74</x:v>
      </x:c>
      <x:c r="I961" s="11" t="n">
        <x:f aca="0">ROUND((IF((B961*C961)/90000&lt;1,1))+IF((B961*C961)/90000&gt;=1,(B961*C961)/90000),1.1)</x:f>
        <x:v>1</x:v>
      </x:c>
      <x:c r="J961" s="11" t="n">
        <x:f aca="0">SUM(F961*I961)</x:f>
        <x:v>0</x:v>
      </x:c>
      <x:c r="K961" s="11" t="n">
        <x:f aca="0">SUM(H961*J961)</x:f>
        <x:v>0</x:v>
      </x:c>
      <x:c r="L961" s="11"/>
      <x:c r="M961" s="11" t="n">
        <x:f aca="0">SUM(C961)</x:f>
        <x:v>0</x:v>
      </x:c>
      <x:c r="N961" s="11" t="n">
        <x:f aca="0">SUM(B961-1)</x:f>
        <x:v>-1</x:v>
      </x:c>
      <x:c r="O961" s="11" t="n">
        <x:f aca="0">SUM(F961*1)</x:f>
        <x:v>0</x:v>
      </x:c>
      <x:c r="P961" s="11"/>
      <x:c r="Q961" s="11" t="str">
        <x:f aca="0">A961</x:f>
        <x:v>中立板</x:v>
      </x:c>
      <x:c r="R961" s="1" t="n">
        <x:f aca="0">SUM(C961*1)*F961</x:f>
        <x:v>0</x:v>
      </x:c>
      <x:c r="T961"/>
    </x:row>
    <x:row r="962" ht="22.200000762939453" hidden="0">
      <x:c r="A962" s="10" t="s">
        <x:v>21</x:v>
      </x:c>
      <x:c r="B962" s="10"/>
      <x:c r="C962" s="10"/>
      <x:c r="D962" s="10" t="n">
        <x:v>18</x:v>
      </x:c>
      <x:c r="E962" s="10"/>
      <x:c r="F962" s="10"/>
      <x:c r="G962" s="10"/>
      <x:c r="H962" s="10" t="n">
        <x:v>69</x:v>
      </x:c>
      <x:c r="I962" s="11" t="n">
        <x:f aca="0">ROUND((IF((B962*C962)/90000&lt;1,1))+IF((B962*C962)/90000&gt;=1,(B962*C962)/90000),1.1)</x:f>
        <x:v>1</x:v>
      </x:c>
      <x:c r="J962" s="11" t="n">
        <x:f aca="0">SUM(F962*I962)</x:f>
        <x:v>0</x:v>
      </x:c>
      <x:c r="K962" s="11" t="n">
        <x:f aca="0">SUM(H962*J962)</x:f>
        <x:v>0</x:v>
      </x:c>
      <x:c r="L962" s="11"/>
      <x:c r="M962" s="11" t="n">
        <x:f aca="0">SUM(C962)</x:f>
        <x:v>0</x:v>
      </x:c>
      <x:c r="N962" s="11" t="n">
        <x:f aca="0">SUM(B962-1)</x:f>
        <x:v>-1</x:v>
      </x:c>
      <x:c r="O962" s="11" t="n">
        <x:f aca="0">SUM(F962*1)</x:f>
        <x:v>0</x:v>
      </x:c>
      <x:c r="P962" s="11"/>
      <x:c r="Q962" s="11" t="str">
        <x:f aca="0">A962</x:f>
        <x:v>固格板</x:v>
      </x:c>
      <x:c r="R962" s="1" t="n">
        <x:f aca="0">SUM(C962*1)*F962</x:f>
        <x:v>0</x:v>
      </x:c>
      <x:c r="T962"/>
    </x:row>
    <x:row r="963" ht="22.200000762939453" hidden="0">
      <x:c r="A963" s="10" t="s">
        <x:v>21</x:v>
      </x:c>
      <x:c r="B963" s="10"/>
      <x:c r="C963" s="10"/>
      <x:c r="D963" s="10" t="n">
        <x:v>18</x:v>
      </x:c>
      <x:c r="E963" s="10"/>
      <x:c r="F963" s="10"/>
      <x:c r="G963" s="10"/>
      <x:c r="H963" s="10" t="n">
        <x:v>69</x:v>
      </x:c>
      <x:c r="I963" s="11" t="n">
        <x:f aca="0">ROUND((IF((B963*C963)/90000&lt;1,1))+IF((B963*C963)/90000&gt;=1,(B963*C963)/90000),1.1)</x:f>
        <x:v>1</x:v>
      </x:c>
      <x:c r="J963" s="11" t="n">
        <x:f aca="0">SUM(F963*I963)</x:f>
        <x:v>0</x:v>
      </x:c>
      <x:c r="K963" s="11" t="n">
        <x:f aca="0">SUM(H963*J963)</x:f>
        <x:v>0</x:v>
      </x:c>
      <x:c r="L963" s="11"/>
      <x:c r="M963" s="11" t="n">
        <x:f aca="0">SUM(C963)</x:f>
        <x:v>0</x:v>
      </x:c>
      <x:c r="N963" s="11" t="n">
        <x:f aca="0">SUM(B963-1)</x:f>
        <x:v>-1</x:v>
      </x:c>
      <x:c r="O963" s="11" t="n">
        <x:f aca="0">SUM(F963*1)</x:f>
        <x:v>0</x:v>
      </x:c>
      <x:c r="P963" s="11"/>
      <x:c r="Q963" s="11" t="str">
        <x:f aca="0">A963</x:f>
        <x:v>固格板</x:v>
      </x:c>
      <x:c r="R963" s="1" t="n">
        <x:f aca="0">SUM(C963*1)*F963</x:f>
        <x:v>0</x:v>
      </x:c>
      <x:c r="T963"/>
    </x:row>
    <x:row r="964" ht="22.200000762939453" hidden="0">
      <x:c r="A964" s="10" t="s">
        <x:v>21</x:v>
      </x:c>
      <x:c r="B964" s="10"/>
      <x:c r="C964" s="10"/>
      <x:c r="D964" s="10" t="n">
        <x:v>18</x:v>
      </x:c>
      <x:c r="E964" s="10"/>
      <x:c r="F964" s="10"/>
      <x:c r="G964" s="10"/>
      <x:c r="H964" s="10" t="n">
        <x:v>69</x:v>
      </x:c>
      <x:c r="I964" s="11" t="n">
        <x:f aca="0">ROUND((IF((B964*C964)/90000&lt;1,1))+IF((B964*C964)/90000&gt;=1,(B964*C964)/90000),1.1)</x:f>
        <x:v>1</x:v>
      </x:c>
      <x:c r="J964" s="11" t="n">
        <x:f aca="0">SUM(F964*I964)</x:f>
        <x:v>0</x:v>
      </x:c>
      <x:c r="K964" s="11" t="n">
        <x:f aca="0">SUM(H964*J964)</x:f>
        <x:v>0</x:v>
      </x:c>
      <x:c r="L964" s="11"/>
      <x:c r="M964" s="11" t="n">
        <x:f aca="0">SUM(C964)</x:f>
        <x:v>0</x:v>
      </x:c>
      <x:c r="N964" s="11" t="n">
        <x:f aca="0">SUM(B964-1)</x:f>
        <x:v>-1</x:v>
      </x:c>
      <x:c r="O964" s="11" t="n">
        <x:f aca="0">SUM(F964*1)</x:f>
        <x:v>0</x:v>
      </x:c>
      <x:c r="P964" s="11"/>
      <x:c r="Q964" s="11" t="str">
        <x:f aca="0">A964</x:f>
        <x:v>固格板</x:v>
      </x:c>
      <x:c r="R964" s="1" t="n">
        <x:f aca="0">SUM(C964*1)*F964</x:f>
        <x:v>0</x:v>
      </x:c>
      <x:c r="T964"/>
    </x:row>
    <x:row r="965" ht="22.200000762939453" hidden="0">
      <x:c r="A965" s="10" t="s">
        <x:v>22</x:v>
      </x:c>
      <x:c r="B965" s="10"/>
      <x:c r="C965" s="10"/>
      <x:c r="D965" s="10" t="n">
        <x:v>18</x:v>
      </x:c>
      <x:c r="E965" s="10"/>
      <x:c r="F965" s="10"/>
      <x:c r="G965" s="10"/>
      <x:c r="H965" s="10" t="n">
        <x:v>69</x:v>
      </x:c>
      <x:c r="I965" s="11" t="n">
        <x:f aca="0">ROUND((IF((B965*C965)/90000&lt;1,1))+IF((B965*C965)/90000&gt;=1,(B965*C965)/90000),1.1)</x:f>
        <x:v>1</x:v>
      </x:c>
      <x:c r="J965" s="11" t="n">
        <x:f aca="0">SUM(F965*I965)</x:f>
        <x:v>0</x:v>
      </x:c>
      <x:c r="K965" s="11" t="n">
        <x:f aca="0">SUM(H965*J965)</x:f>
        <x:v>0</x:v>
      </x:c>
      <x:c r="L965" s="11"/>
      <x:c r="M965" s="11" t="n">
        <x:f aca="0">SUM(C965-1)</x:f>
        <x:v>-1</x:v>
      </x:c>
      <x:c r="N965" s="11" t="n">
        <x:f aca="0">SUM(B965-1)</x:f>
        <x:v>-1</x:v>
      </x:c>
      <x:c r="O965" s="11" t="n">
        <x:f aca="0">SUM(F965*1)</x:f>
        <x:v>0</x:v>
      </x:c>
      <x:c r="P965" s="11"/>
      <x:c r="Q965" s="11" t="str">
        <x:f aca="0">A965</x:f>
        <x:v>活格板</x:v>
      </x:c>
      <x:c r="R965" s="1" t="n">
        <x:f aca="0">SUM(B965*2+C965*2)*F965</x:f>
        <x:v>0</x:v>
      </x:c>
      <x:c r="T965"/>
    </x:row>
    <x:row r="966" ht="22.200000762939453" hidden="0">
      <x:c r="A966" s="10" t="s">
        <x:v>22</x:v>
      </x:c>
      <x:c r="B966" s="10"/>
      <x:c r="C966" s="10"/>
      <x:c r="D966" s="10" t="n">
        <x:v>18</x:v>
      </x:c>
      <x:c r="E966" s="10"/>
      <x:c r="F966" s="10"/>
      <x:c r="G966" s="10"/>
      <x:c r="H966" s="10" t="n">
        <x:v>69</x:v>
      </x:c>
      <x:c r="I966" s="11" t="n">
        <x:f aca="0">ROUND((IF((B966*C966)/90000&lt;1,1))+IF((B966*C966)/90000&gt;=1,(B966*C966)/90000),1.1)</x:f>
        <x:v>1</x:v>
      </x:c>
      <x:c r="J966" s="11" t="n">
        <x:f aca="0">SUM(F966*I966)</x:f>
        <x:v>0</x:v>
      </x:c>
      <x:c r="K966" s="11" t="n">
        <x:f aca="0">SUM(H966*J966)</x:f>
        <x:v>0</x:v>
      </x:c>
      <x:c r="L966" s="11"/>
      <x:c r="M966" s="11" t="n">
        <x:f aca="0">SUM(C966-1)</x:f>
        <x:v>-1</x:v>
      </x:c>
      <x:c r="N966" s="11" t="n">
        <x:f aca="0">SUM(B966-1)</x:f>
        <x:v>-1</x:v>
      </x:c>
      <x:c r="O966" s="11" t="n">
        <x:f aca="0">SUM(F966*1)</x:f>
        <x:v>0</x:v>
      </x:c>
      <x:c r="P966" s="11"/>
      <x:c r="Q966" s="11" t="str">
        <x:f aca="0">A966</x:f>
        <x:v>活格板</x:v>
      </x:c>
      <x:c r="R966" s="1" t="n">
        <x:f aca="0">SUM(B966*2+C966*2)*F966</x:f>
        <x:v>0</x:v>
      </x:c>
      <x:c r="T966"/>
    </x:row>
    <x:row r="967" ht="22.200000762939453" hidden="0">
      <x:c r="A967" s="10" t="s">
        <x:v>22</x:v>
      </x:c>
      <x:c r="B967" s="10"/>
      <x:c r="C967" s="10"/>
      <x:c r="D967" s="10" t="n">
        <x:v>18</x:v>
      </x:c>
      <x:c r="E967" s="10"/>
      <x:c r="F967" s="10"/>
      <x:c r="G967" s="10"/>
      <x:c r="H967" s="10" t="n">
        <x:v>69</x:v>
      </x:c>
      <x:c r="I967" s="11" t="n">
        <x:f aca="0">ROUND((IF((B967*C967)/90000&lt;1,1))+IF((B967*C967)/90000&gt;=1,(B967*C967)/90000),1.1)</x:f>
        <x:v>1</x:v>
      </x:c>
      <x:c r="J967" s="11" t="n">
        <x:f aca="0">SUM(F967*I967)</x:f>
        <x:v>0</x:v>
      </x:c>
      <x:c r="K967" s="11" t="n">
        <x:f aca="0">SUM(H967*J967)</x:f>
        <x:v>0</x:v>
      </x:c>
      <x:c r="L967" s="11"/>
      <x:c r="M967" s="11" t="n">
        <x:f aca="0">SUM(C967-1)</x:f>
        <x:v>-1</x:v>
      </x:c>
      <x:c r="N967" s="11" t="n">
        <x:f aca="0">SUM(B967-1)</x:f>
        <x:v>-1</x:v>
      </x:c>
      <x:c r="O967" s="11" t="n">
        <x:f aca="0">SUM(F967*1)</x:f>
        <x:v>0</x:v>
      </x:c>
      <x:c r="P967" s="11"/>
      <x:c r="Q967" s="11" t="str">
        <x:f aca="0">A967</x:f>
        <x:v>活格板</x:v>
      </x:c>
      <x:c r="R967" s="1" t="n">
        <x:f aca="0">SUM(B967*2+C967*2)*F967</x:f>
        <x:v>0</x:v>
      </x:c>
      <x:c r="T967"/>
    </x:row>
    <x:row r="968" ht="22.200000762939453" hidden="0">
      <x:c r="A968" s="10" t="s">
        <x:v>22</x:v>
      </x:c>
      <x:c r="B968" s="10"/>
      <x:c r="C968" s="10"/>
      <x:c r="D968" s="10" t="n">
        <x:v>18</x:v>
      </x:c>
      <x:c r="E968" s="10"/>
      <x:c r="F968" s="10"/>
      <x:c r="G968" s="10"/>
      <x:c r="H968" s="10" t="n">
        <x:v>69</x:v>
      </x:c>
      <x:c r="I968" s="11" t="n">
        <x:f aca="0">ROUND((IF((B968*C968)/90000&lt;1,1))+IF((B968*C968)/90000&gt;=1,(B968*C968)/90000),1.1)</x:f>
        <x:v>1</x:v>
      </x:c>
      <x:c r="J968" s="11" t="n">
        <x:f aca="0">SUM(F968*I968)</x:f>
        <x:v>0</x:v>
      </x:c>
      <x:c r="K968" s="11" t="n">
        <x:f aca="0">SUM(H968*J968)</x:f>
        <x:v>0</x:v>
      </x:c>
      <x:c r="L968" s="11"/>
      <x:c r="M968" s="11" t="n">
        <x:f aca="0">SUM(C968-1)</x:f>
        <x:v>-1</x:v>
      </x:c>
      <x:c r="N968" s="11" t="n">
        <x:f aca="0">SUM(B968-1)</x:f>
        <x:v>-1</x:v>
      </x:c>
      <x:c r="O968" s="11" t="n">
        <x:f aca="0">SUM(F968*1)</x:f>
        <x:v>0</x:v>
      </x:c>
      <x:c r="P968" s="11"/>
      <x:c r="Q968" s="11" t="str">
        <x:f aca="0">A968</x:f>
        <x:v>活格板</x:v>
      </x:c>
      <x:c r="R968" s="1" t="n">
        <x:f aca="0">SUM(B968*2+C968*2)*F968</x:f>
        <x:v>0</x:v>
      </x:c>
      <x:c r="T968"/>
    </x:row>
    <x:row r="969" ht="22.200000762939453" hidden="0">
      <x:c r="A969" s="10" t="s">
        <x:v>23</x:v>
      </x:c>
      <x:c r="B969" s="10"/>
      <x:c r="C969" s="10"/>
      <x:c r="D969" s="10" t="n">
        <x:v>18</x:v>
      </x:c>
      <x:c r="E969" s="10"/>
      <x:c r="F969" s="10"/>
      <x:c r="G969" s="10"/>
      <x:c r="H969" s="10" t="n">
        <x:v>69</x:v>
      </x:c>
      <x:c r="I969" s="11" t="n">
        <x:f aca="0">ROUND((IF((B969*C969)/90000&lt;1,1))+IF((B969*C969)/90000&gt;=1,(B969*C969)/90000),1.1)</x:f>
        <x:v>1</x:v>
      </x:c>
      <x:c r="J969" s="11" t="n">
        <x:f aca="0">SUM(F969*I969)</x:f>
        <x:v>0</x:v>
      </x:c>
      <x:c r="K969" s="11" t="n">
        <x:f aca="0">SUM(H969*J969)</x:f>
        <x:v>0</x:v>
      </x:c>
      <x:c r="L969" s="11"/>
      <x:c r="M969" s="11" t="n">
        <x:f aca="0">SUM(C969-1)</x:f>
        <x:v>-1</x:v>
      </x:c>
      <x:c r="N969" s="11" t="n">
        <x:f aca="0">SUM(B969-1)</x:f>
        <x:v>-1</x:v>
      </x:c>
      <x:c r="O969" s="11" t="n">
        <x:f aca="0">SUM(F969*1)</x:f>
        <x:v>0</x:v>
      </x:c>
      <x:c r="P969" s="11"/>
      <x:c r="Q969" s="11" t="str">
        <x:f aca="0">A969</x:f>
        <x:v>抽框</x:v>
      </x:c>
      <x:c r="R969" s="1" t="n">
        <x:f aca="0">SUM(B969*2+C969*2)*F969</x:f>
        <x:v>0</x:v>
      </x:c>
      <x:c r="T969"/>
    </x:row>
    <x:row r="970" ht="22.200000762939453" hidden="0">
      <x:c r="A970" s="10" t="s">
        <x:v>24</x:v>
      </x:c>
      <x:c r="B970" s="10"/>
      <x:c r="C970" s="10"/>
      <x:c r="D970" s="10" t="n">
        <x:v>18</x:v>
      </x:c>
      <x:c r="E970" s="10"/>
      <x:c r="F970" s="10"/>
      <x:c r="G970" s="10"/>
      <x:c r="H970" s="10" t="n">
        <x:v>69</x:v>
      </x:c>
      <x:c r="I970" s="11" t="n">
        <x:f aca="0">ROUND((IF((B970*C970)/90000&lt;1,1))+IF((B970*C970)/90000&gt;=1,(B970*C970)/90000),1.1)</x:f>
        <x:v>1</x:v>
      </x:c>
      <x:c r="J970" s="11" t="n">
        <x:f aca="0">SUM(F970*I970)</x:f>
        <x:v>0</x:v>
      </x:c>
      <x:c r="K970" s="11" t="n">
        <x:f aca="0">SUM(H970*J970)</x:f>
        <x:v>0</x:v>
      </x:c>
      <x:c r="L970" s="11"/>
      <x:c r="M970" s="11" t="n">
        <x:f aca="0">SUM(C970-1)</x:f>
        <x:v>-1</x:v>
      </x:c>
      <x:c r="N970" s="11" t="n">
        <x:f aca="0">SUM(B970-1)</x:f>
        <x:v>-1</x:v>
      </x:c>
      <x:c r="O970" s="11" t="n">
        <x:f aca="0">SUM(F970*1)</x:f>
        <x:v>0</x:v>
      </x:c>
      <x:c r="P970" s="11"/>
      <x:c r="Q970" s="11" t="str">
        <x:f aca="0">A970</x:f>
        <x:v>框中立</x:v>
      </x:c>
      <x:c r="R970" s="1" t="n">
        <x:f aca="0">SUM(B970*2+C970*2)*F970</x:f>
        <x:v>0</x:v>
      </x:c>
      <x:c r="T970"/>
    </x:row>
    <x:row r="971" ht="22.200000762939453" hidden="0">
      <x:c r="A971" s="10" t="s">
        <x:v>25</x:v>
      </x:c>
      <x:c r="B971" s="10"/>
      <x:c r="C971" s="10"/>
      <x:c r="D971" s="10" t="n">
        <x:v>18</x:v>
      </x:c>
      <x:c r="E971" s="10"/>
      <x:c r="F971" s="10"/>
      <x:c r="G971" s="10"/>
      <x:c r="H971" s="10" t="n">
        <x:v>69</x:v>
      </x:c>
      <x:c r="I971" s="11" t="n">
        <x:f aca="0">ROUND((IF((B971*C971)/90000&lt;1,1))+IF((B971*C971)/90000&gt;=1,(B971*C971)/90000),1.1)</x:f>
        <x:v>1</x:v>
      </x:c>
      <x:c r="J971" s="11" t="n">
        <x:f aca="0">SUM(F971*I971)</x:f>
        <x:v>0</x:v>
      </x:c>
      <x:c r="K971" s="11" t="n">
        <x:f aca="0">SUM(H971*J971)</x:f>
        <x:v>0</x:v>
      </x:c>
      <x:c r="L971" s="11"/>
      <x:c r="M971" s="11" t="n">
        <x:f aca="0">SUM(C971)</x:f>
        <x:v>0</x:v>
      </x:c>
      <x:c r="N971" s="11" t="n">
        <x:f aca="0">SUM(B971-1)</x:f>
        <x:v>-1</x:v>
      </x:c>
      <x:c r="O971" s="11" t="n">
        <x:f aca="0">SUM(F971*1)</x:f>
        <x:v>0</x:v>
      </x:c>
      <x:c r="P971" s="11"/>
      <x:c r="Q971" s="11" t="str">
        <x:f aca="0">A971</x:f>
        <x:v>橫木</x:v>
      </x:c>
      <x:c r="R971" s="1" t="n">
        <x:f aca="0">SUM(C971*2)*F971</x:f>
        <x:v>0</x:v>
      </x:c>
      <x:c r="T971"/>
    </x:row>
    <x:row r="972" ht="22.200000762939453" hidden="0">
      <x:c r="A972" s="10" t="s">
        <x:v>26</x:v>
      </x:c>
      <x:c r="B972" s="10"/>
      <x:c r="C972" s="10"/>
      <x:c r="D972" s="10" t="n">
        <x:v>18</x:v>
      </x:c>
      <x:c r="E972" s="10"/>
      <x:c r="F972" s="10"/>
      <x:c r="G972" s="10"/>
      <x:c r="H972" s="10" t="n">
        <x:v>69</x:v>
      </x:c>
      <x:c r="I972" s="11" t="n">
        <x:f aca="0">ROUND((IF((B972*C972)/90000&lt;1,1))+IF((B972*C972)/90000&gt;=1,(B972*C972)/90000),1.1)</x:f>
        <x:v>1</x:v>
      </x:c>
      <x:c r="J972" s="11" t="n">
        <x:f aca="0">SUM(F972*I972)</x:f>
        <x:v>0</x:v>
      </x:c>
      <x:c r="K972" s="11" t="n">
        <x:f aca="0">SUM(H972*J972)</x:f>
        <x:v>0</x:v>
      </x:c>
      <x:c r="L972" s="11"/>
      <x:c r="M972" s="11" t="n">
        <x:f aca="0">SUM(C972)</x:f>
        <x:v>0</x:v>
      </x:c>
      <x:c r="N972" s="11" t="n">
        <x:f aca="0">SUM(B972-1)</x:f>
        <x:v>-1</x:v>
      </x:c>
      <x:c r="O972" s="11" t="n">
        <x:f aca="0">SUM(F972*1)</x:f>
        <x:v>0</x:v>
      </x:c>
      <x:c r="P972" s="11"/>
      <x:c r="Q972" s="11" t="str">
        <x:f aca="0">A972</x:f>
        <x:v>前抽牆</x:v>
      </x:c>
      <x:c r="R972" s="1" t="n">
        <x:f aca="0">SUM(C972*2)*F972</x:f>
        <x:v>0</x:v>
      </x:c>
      <x:c r="T972"/>
    </x:row>
    <x:row r="973" ht="22.200000762939453" hidden="0">
      <x:c r="A973" s="10" t="s">
        <x:v>26</x:v>
      </x:c>
      <x:c r="B973" s="10"/>
      <x:c r="C973" s="10"/>
      <x:c r="D973" s="10" t="n">
        <x:v>18</x:v>
      </x:c>
      <x:c r="E973" s="10"/>
      <x:c r="F973" s="10"/>
      <x:c r="G973" s="10"/>
      <x:c r="H973" s="10" t="n">
        <x:v>69</x:v>
      </x:c>
      <x:c r="I973" s="11" t="n">
        <x:f aca="0">ROUND((IF((B973*C973)/90000&lt;1,1))+IF((B973*C973)/90000&gt;=1,(B973*C973)/90000),1.1)</x:f>
        <x:v>1</x:v>
      </x:c>
      <x:c r="J973" s="11" t="n">
        <x:f aca="0">SUM(F973*I973)</x:f>
        <x:v>0</x:v>
      </x:c>
      <x:c r="K973" s="11" t="n">
        <x:f aca="0">SUM(H973*J973)</x:f>
        <x:v>0</x:v>
      </x:c>
      <x:c r="L973" s="11"/>
      <x:c r="M973" s="11" t="n">
        <x:f aca="0">SUM(C973)</x:f>
        <x:v>0</x:v>
      </x:c>
      <x:c r="N973" s="11" t="n">
        <x:f aca="0">SUM(B973-1)</x:f>
        <x:v>-1</x:v>
      </x:c>
      <x:c r="O973" s="11" t="n">
        <x:f aca="0">SUM(F973*1)</x:f>
        <x:v>0</x:v>
      </x:c>
      <x:c r="P973" s="11"/>
      <x:c r="Q973" s="11" t="str">
        <x:f aca="0">A973</x:f>
        <x:v>前抽牆</x:v>
      </x:c>
      <x:c r="R973" s="1" t="n">
        <x:f aca="0">SUM(C973*2)*F973</x:f>
        <x:v>0</x:v>
      </x:c>
      <x:c r="T973"/>
    </x:row>
    <x:row r="974" ht="22.200000762939453" hidden="0">
      <x:c r="A974" s="10" t="s">
        <x:v>27</x:v>
      </x:c>
      <x:c r="B974" s="10"/>
      <x:c r="C974" s="10"/>
      <x:c r="D974" s="10" t="n">
        <x:v>18</x:v>
      </x:c>
      <x:c r="E974" s="10"/>
      <x:c r="F974" s="10"/>
      <x:c r="G974" s="10"/>
      <x:c r="H974" s="10" t="n">
        <x:v>69</x:v>
      </x:c>
      <x:c r="I974" s="11" t="n">
        <x:f aca="0">ROUND((IF((B974*C974)/90000&lt;1,1))+IF((B974*C974)/90000&gt;=1,(B974*C974)/90000),1.1)</x:f>
        <x:v>1</x:v>
      </x:c>
      <x:c r="J974" s="11" t="n">
        <x:f aca="0">SUM(F974*I974)</x:f>
        <x:v>0</x:v>
      </x:c>
      <x:c r="K974" s="11" t="n">
        <x:f aca="0">SUM(H974*J974)</x:f>
        <x:v>0</x:v>
      </x:c>
      <x:c r="L974" s="11"/>
      <x:c r="M974" s="11" t="n">
        <x:f aca="0">SUM(C974)</x:f>
        <x:v>0</x:v>
      </x:c>
      <x:c r="N974" s="11" t="n">
        <x:f aca="0">SUM(B974-1)</x:f>
        <x:v>-1</x:v>
      </x:c>
      <x:c r="O974" s="11" t="n">
        <x:f aca="0">SUM(F974*1)</x:f>
        <x:v>0</x:v>
      </x:c>
      <x:c r="P974" s="11"/>
      <x:c r="Q974" s="11" t="str">
        <x:f aca="0">A974</x:f>
        <x:v>邊抽牆</x:v>
      </x:c>
      <x:c r="R974" s="1" t="n">
        <x:f aca="0">SUM(C974*2)*F974</x:f>
        <x:v>0</x:v>
      </x:c>
      <x:c r="T974"/>
    </x:row>
    <x:row r="975" ht="22.200000762939453" hidden="0">
      <x:c r="A975" s="10" t="s">
        <x:v>27</x:v>
      </x:c>
      <x:c r="B975" s="10"/>
      <x:c r="C975" s="10"/>
      <x:c r="D975" s="10" t="n">
        <x:v>18</x:v>
      </x:c>
      <x:c r="E975" s="10"/>
      <x:c r="F975" s="10"/>
      <x:c r="G975" s="10"/>
      <x:c r="H975" s="10" t="n">
        <x:v>69</x:v>
      </x:c>
      <x:c r="I975" s="11" t="n">
        <x:f aca="0">ROUND((IF((B975*C975)/90000&lt;1,1))+IF((B975*C975)/90000&gt;=1,(B975*C975)/90000),1.1)</x:f>
        <x:v>1</x:v>
      </x:c>
      <x:c r="J975" s="11" t="n">
        <x:f aca="0">SUM(F975*I975)</x:f>
        <x:v>0</x:v>
      </x:c>
      <x:c r="K975" s="11" t="n">
        <x:f aca="0">SUM(H975*J975)</x:f>
        <x:v>0</x:v>
      </x:c>
      <x:c r="L975" s="11"/>
      <x:c r="M975" s="11" t="n">
        <x:f aca="0">SUM(C975)</x:f>
        <x:v>0</x:v>
      </x:c>
      <x:c r="N975" s="11" t="n">
        <x:f aca="0">SUM(B975-1)</x:f>
        <x:v>-1</x:v>
      </x:c>
      <x:c r="O975" s="11" t="n">
        <x:f aca="0">SUM(F975*1)</x:f>
        <x:v>0</x:v>
      </x:c>
      <x:c r="P975" s="11"/>
      <x:c r="Q975" s="11" t="str">
        <x:f aca="0">A975</x:f>
        <x:v>邊抽牆</x:v>
      </x:c>
      <x:c r="R975" s="1" t="n">
        <x:f aca="0">SUM(C975*2)*F975</x:f>
        <x:v>0</x:v>
      </x:c>
      <x:c r="T975"/>
    </x:row>
    <x:row r="976" ht="22.200000762939453" hidden="0">
      <x:c r="A976" s="10" t="s">
        <x:v>28</x:v>
      </x:c>
      <x:c r="B976" s="10"/>
      <x:c r="C976" s="10"/>
      <x:c r="D976" s="10" t="n">
        <x:v>8</x:v>
      </x:c>
      <x:c r="E976" s="10"/>
      <x:c r="F976" s="10"/>
      <x:c r="G976" s="10"/>
      <x:c r="H976" s="10" t="n">
        <x:v>50</x:v>
      </x:c>
      <x:c r="I976" s="11" t="n">
        <x:f aca="0">ROUND((IF((B976*C976)/90000&lt;1,1))+IF((B976*C976)/90000&gt;=1,(B976*C976)/90000),1.1)</x:f>
        <x:v>1</x:v>
      </x:c>
      <x:c r="J976" s="11" t="n">
        <x:f aca="0">SUM(F976*I976)</x:f>
        <x:v>0</x:v>
      </x:c>
      <x:c r="K976" s="11" t="n">
        <x:f aca="0">SUM(H976*J976)</x:f>
        <x:v>0</x:v>
      </x:c>
      <x:c r="L976" s="11"/>
      <x:c r="M976" s="11" t="n">
        <x:f aca="0">SUM(C976)</x:f>
        <x:v>0</x:v>
      </x:c>
      <x:c r="N976" s="11" t="n">
        <x:f aca="0">SUM(B976)</x:f>
        <x:v>0</x:v>
      </x:c>
      <x:c r="O976" s="11" t="n">
        <x:f aca="0">SUM(F976*1)</x:f>
        <x:v>0</x:v>
      </x:c>
      <x:c r="P976" s="11"/>
      <x:c r="Q976" s="11" t="str">
        <x:f aca="0">A976</x:f>
        <x:v>抽底板</x:v>
      </x:c>
      <x:c r="T976"/>
    </x:row>
    <x:row r="977" ht="22.200000762939453" hidden="0">
      <x:c r="A977" s="10" t="s">
        <x:v>28</x:v>
      </x:c>
      <x:c r="B977" s="10"/>
      <x:c r="C977" s="10"/>
      <x:c r="D977" s="10" t="n">
        <x:v>8</x:v>
      </x:c>
      <x:c r="E977" s="10"/>
      <x:c r="F977" s="10"/>
      <x:c r="G977" s="10"/>
      <x:c r="H977" s="10" t="n">
        <x:v>50</x:v>
      </x:c>
      <x:c r="I977" s="11" t="n">
        <x:f aca="0">ROUND((IF((B977*C977)/90000&lt;1,1))+IF((B977*C977)/90000&gt;=1,(B977*C977)/90000),1.1)</x:f>
        <x:v>1</x:v>
      </x:c>
      <x:c r="J977" s="11" t="n">
        <x:f aca="0">SUM(F977*I977)</x:f>
        <x:v>0</x:v>
      </x:c>
      <x:c r="K977" s="11" t="n">
        <x:f aca="0">SUM(H977*J977)</x:f>
        <x:v>0</x:v>
      </x:c>
      <x:c r="L977" s="11"/>
      <x:c r="M977" s="11" t="n">
        <x:f aca="0">SUM(C977)</x:f>
        <x:v>0</x:v>
      </x:c>
      <x:c r="N977" s="11" t="n">
        <x:f aca="0">SUM(B977)</x:f>
        <x:v>0</x:v>
      </x:c>
      <x:c r="O977" s="11" t="n">
        <x:f aca="0">SUM(F977*1)</x:f>
        <x:v>0</x:v>
      </x:c>
      <x:c r="P977" s="11"/>
      <x:c r="Q977" s="11" t="str">
        <x:f aca="0">A977</x:f>
        <x:v>抽底板</x:v>
      </x:c>
      <x:c r="T977"/>
    </x:row>
    <x:row r="978" ht="22.200000762939453" hidden="0">
      <x:c r="A978" s="12" t="s">
        <x:v>64</x:v>
      </x:c>
      <x:c r="B978" s="10"/>
      <x:c r="C978" s="10"/>
      <x:c r="D978" s="10" t="n">
        <x:v>18</x:v>
      </x:c>
      <x:c r="E978" s="10"/>
      <x:c r="F978" s="10"/>
      <x:c r="G978" s="10"/>
      <x:c r="H978" s="10" t="n">
        <x:v>84</x:v>
      </x:c>
      <x:c r="I978" s="11" t="n">
        <x:f aca="0">ROUND((IF((B978*C978)/90000&lt;1,1))+IF((B978*C978)/90000&gt;=1,(B978*C978)/90000),1.1)</x:f>
        <x:v>1</x:v>
      </x:c>
      <x:c r="J978" s="11" t="n">
        <x:f aca="0">SUM(F978*I978)</x:f>
        <x:v>0</x:v>
      </x:c>
      <x:c r="K978" s="11" t="n">
        <x:f aca="0">SUM(H978*J978)</x:f>
        <x:v>0</x:v>
      </x:c>
      <x:c r="L978" s="11"/>
      <x:c r="M978" s="11" t="n">
        <x:f aca="0">SUM(C978-2)</x:f>
        <x:v>-2</x:v>
      </x:c>
      <x:c r="N978" s="11" t="n">
        <x:f aca="0">SUM(B978-2)</x:f>
        <x:v>-2</x:v>
      </x:c>
      <x:c r="O978" s="11" t="n">
        <x:f aca="0">SUM(F978*1)</x:f>
        <x:v>0</x:v>
      </x:c>
      <x:c r="P978" s="11"/>
      <x:c r="Q978" s="11" t="str">
        <x:f aca="0">A978</x:f>
        <x:v>4E門板</x:v>
      </x:c>
      <x:c r="S978" s="1" t="n">
        <x:f aca="0">SUM(B978*2+C978*2)*F978</x:f>
        <x:v>0</x:v>
      </x:c>
      <x:c r="T978"/>
    </x:row>
    <x:row r="979" ht="22.200000762939453" hidden="0">
      <x:c r="A979" s="12" t="s">
        <x:v>64</x:v>
      </x:c>
      <x:c r="B979" s="10"/>
      <x:c r="C979" s="10"/>
      <x:c r="D979" s="10" t="n">
        <x:v>18</x:v>
      </x:c>
      <x:c r="E979" s="10"/>
      <x:c r="F979" s="10"/>
      <x:c r="G979" s="10"/>
      <x:c r="H979" s="10" t="n">
        <x:v>84</x:v>
      </x:c>
      <x:c r="I979" s="11" t="n">
        <x:f aca="0">ROUND((IF((B979*C979)/90000&lt;1,1))+IF((B979*C979)/90000&gt;=1,(B979*C979)/90000),1.1)</x:f>
        <x:v>1</x:v>
      </x:c>
      <x:c r="J979" s="11" t="n">
        <x:f aca="0">SUM(F979*I979)</x:f>
        <x:v>0</x:v>
      </x:c>
      <x:c r="K979" s="11" t="n">
        <x:f aca="0">SUM(H979*J979)</x:f>
        <x:v>0</x:v>
      </x:c>
      <x:c r="L979" s="11"/>
      <x:c r="M979" s="11" t="n">
        <x:f aca="0">SUM(C979-2)</x:f>
        <x:v>-2</x:v>
      </x:c>
      <x:c r="N979" s="11" t="n">
        <x:f aca="0">SUM(B979-2)</x:f>
        <x:v>-2</x:v>
      </x:c>
      <x:c r="O979" s="11" t="n">
        <x:f aca="0">SUM(F979*1)</x:f>
        <x:v>0</x:v>
      </x:c>
      <x:c r="P979" s="11"/>
      <x:c r="Q979" s="11" t="str">
        <x:f aca="0">A979</x:f>
        <x:v>4E門板</x:v>
      </x:c>
      <x:c r="S979" s="1" t="n">
        <x:f aca="0">SUM(B979*2+C979*2)*F979</x:f>
        <x:v>0</x:v>
      </x:c>
      <x:c r="T979"/>
    </x:row>
    <x:row r="980" ht="22.200000762939453" hidden="0">
      <x:c r="A980" s="12" t="s">
        <x:v>64</x:v>
      </x:c>
      <x:c r="B980" s="10"/>
      <x:c r="C980" s="10"/>
      <x:c r="D980" s="10" t="n">
        <x:v>18</x:v>
      </x:c>
      <x:c r="E980" s="10"/>
      <x:c r="F980" s="10"/>
      <x:c r="G980" s="10"/>
      <x:c r="H980" s="10" t="n">
        <x:v>84</x:v>
      </x:c>
      <x:c r="I980" s="11" t="n">
        <x:f aca="0">ROUND((IF((B980*C980)/90000&lt;1,1))+IF((B980*C980)/90000&gt;=1,(B980*C980)/90000),1.1)</x:f>
        <x:v>1</x:v>
      </x:c>
      <x:c r="J980" s="11" t="n">
        <x:f aca="0">SUM(F980*I980)</x:f>
        <x:v>0</x:v>
      </x:c>
      <x:c r="K980" s="11" t="n">
        <x:f aca="0">SUM(H980*J980)</x:f>
        <x:v>0</x:v>
      </x:c>
      <x:c r="L980" s="11"/>
      <x:c r="M980" s="11" t="n">
        <x:f aca="0">SUM(C980-2)</x:f>
        <x:v>-2</x:v>
      </x:c>
      <x:c r="N980" s="11" t="n">
        <x:f aca="0">SUM(B980-2)</x:f>
        <x:v>-2</x:v>
      </x:c>
      <x:c r="O980" s="11" t="n">
        <x:f aca="0">SUM(F980*1)</x:f>
        <x:v>0</x:v>
      </x:c>
      <x:c r="P980" s="11"/>
      <x:c r="Q980" s="11" t="str">
        <x:f aca="0">A980</x:f>
        <x:v>4E門板</x:v>
      </x:c>
      <x:c r="S980" s="1" t="n">
        <x:f aca="0">SUM(B980*2+C980*2)*F980</x:f>
        <x:v>0</x:v>
      </x:c>
      <x:c r="T980"/>
    </x:row>
    <x:row r="981" ht="22.200000762939453" hidden="0">
      <x:c r="A981" s="10" t="s">
        <x:v>30</x:v>
      </x:c>
      <x:c r="B981" s="10"/>
      <x:c r="C981" s="10"/>
      <x:c r="D981" s="10" t="n">
        <x:v>18</x:v>
      </x:c>
      <x:c r="E981" s="10"/>
      <x:c r="F981" s="10"/>
      <x:c r="G981" s="10"/>
      <x:c r="H981" s="10" t="n">
        <x:v>84</x:v>
      </x:c>
      <x:c r="I981" s="11" t="n">
        <x:f aca="0">ROUND((IF((B981*C981)/90000&lt;1,1))+IF((B981*C981)/90000&gt;=1,(B981*C981)/90000),1.1)</x:f>
        <x:v>1</x:v>
      </x:c>
      <x:c r="J981" s="11" t="n">
        <x:f aca="0">SUM(F981*I981)</x:f>
        <x:v>0</x:v>
      </x:c>
      <x:c r="K981" s="11" t="n">
        <x:f aca="0">SUM(H981*J981)</x:f>
        <x:v>0</x:v>
      </x:c>
      <x:c r="L981" s="11"/>
      <x:c r="M981" s="11" t="n">
        <x:f aca="0">SUM(C981-2)</x:f>
        <x:v>-2</x:v>
      </x:c>
      <x:c r="N981" s="11" t="n">
        <x:f aca="0">SUM(B981-2)</x:f>
        <x:v>-2</x:v>
      </x:c>
      <x:c r="O981" s="11" t="n">
        <x:f aca="0">SUM(F981*1)</x:f>
        <x:v>0</x:v>
      </x:c>
      <x:c r="P981" s="11"/>
      <x:c r="Q981" s="11" t="str">
        <x:f aca="0">A981</x:f>
        <x:v>假門板</x:v>
      </x:c>
      <x:c r="S981" s="1" t="n">
        <x:f aca="0">SUM(B981*2+C981*2)*F981</x:f>
        <x:v>0</x:v>
      </x:c>
      <x:c r="T981"/>
    </x:row>
    <x:row r="982" ht="22.200000762939453" hidden="0">
      <x:c r="A982" s="10" t="s">
        <x:v>31</x:v>
      </x:c>
      <x:c r="B982" s="10"/>
      <x:c r="C982" s="10"/>
      <x:c r="D982" s="10" t="n">
        <x:v>18</x:v>
      </x:c>
      <x:c r="E982" s="10"/>
      <x:c r="F982" s="10"/>
      <x:c r="G982" s="10"/>
      <x:c r="H982" s="10" t="n">
        <x:v>84</x:v>
      </x:c>
      <x:c r="I982" s="11" t="n">
        <x:f aca="0">ROUND((IF((B982*C982)/90000&lt;1,1))+IF((B982*C982)/90000&gt;=1,(B982*C982)/90000),1.1)</x:f>
        <x:v>1</x:v>
      </x:c>
      <x:c r="J982" s="11" t="n">
        <x:f aca="0">SUM(F982*I982)</x:f>
        <x:v>0</x:v>
      </x:c>
      <x:c r="K982" s="11" t="n">
        <x:f aca="0">SUM(H982*J982)</x:f>
        <x:v>0</x:v>
      </x:c>
      <x:c r="L982" s="11"/>
      <x:c r="M982" s="11" t="n">
        <x:f aca="0">SUM(C982-2)</x:f>
        <x:v>-2</x:v>
      </x:c>
      <x:c r="N982" s="11" t="n">
        <x:f aca="0">SUM(B982-2)</x:f>
        <x:v>-2</x:v>
      </x:c>
      <x:c r="O982" s="11" t="n">
        <x:f aca="0">SUM(F982*1)</x:f>
        <x:v>0</x:v>
      </x:c>
      <x:c r="P982" s="11"/>
      <x:c r="Q982" s="11" t="str">
        <x:f aca="0">A982</x:f>
        <x:v>屜頭</x:v>
      </x:c>
      <x:c r="S982" s="1" t="n">
        <x:f aca="0">SUM(B982*2+C982*2)*F982</x:f>
        <x:v>0</x:v>
      </x:c>
      <x:c r="T982"/>
    </x:row>
    <x:row r="983" ht="22.200000762939453" hidden="0">
      <x:c r="A983" s="10" t="s">
        <x:v>32</x:v>
      </x:c>
      <x:c r="B983" s="10"/>
      <x:c r="C983" s="10"/>
      <x:c r="D983" s="10" t="n">
        <x:v>18</x:v>
      </x:c>
      <x:c r="E983" s="10"/>
      <x:c r="F983" s="10"/>
      <x:c r="G983" s="10"/>
      <x:c r="H983" s="10" t="n">
        <x:v>74</x:v>
      </x:c>
      <x:c r="I983" s="11" t="n">
        <x:f aca="0">ROUND((IF((B983*C983)/90000&lt;1,1))+IF((B983*C983)/90000&gt;=1,(B983*C983)/90000),1.1)</x:f>
        <x:v>1</x:v>
      </x:c>
      <x:c r="J983" s="11" t="n">
        <x:f aca="0">SUM(F983*I983)</x:f>
        <x:v>0</x:v>
      </x:c>
      <x:c r="K983" s="11" t="n">
        <x:f aca="0">SUM(H983*J983)</x:f>
        <x:v>0</x:v>
      </x:c>
      <x:c r="L983" s="11"/>
      <x:c r="M983" s="11" t="n">
        <x:f aca="0">SUM(C983-1)</x:f>
        <x:v>-1</x:v>
      </x:c>
      <x:c r="N983" s="11" t="n">
        <x:f aca="0">SUM(B983)</x:f>
        <x:v>0</x:v>
      </x:c>
      <x:c r="O983" s="11" t="n">
        <x:f aca="0">SUM(F983*1)</x:f>
        <x:v>0</x:v>
      </x:c>
      <x:c r="P983" s="11"/>
      <x:c r="Q983" s="11" t="str">
        <x:f aca="0">A983</x:f>
        <x:v>推門</x:v>
      </x:c>
      <x:c r="R983" s="1" t="n">
        <x:f aca="0">SUM(B983*2+C983*2)*F983</x:f>
        <x:v>0</x:v>
      </x:c>
      <x:c r="T983"/>
    </x:row>
    <x:row r="984" ht="22.200000762939453" hidden="0">
      <x:c r="A984" s="10" t="s">
        <x:v>33</x:v>
      </x:c>
      <x:c r="B984" s="10"/>
      <x:c r="C984" s="10"/>
      <x:c r="D984" s="10" t="n">
        <x:v>18</x:v>
      </x:c>
      <x:c r="E984" s="10"/>
      <x:c r="F984" s="10"/>
      <x:c r="G984" s="10"/>
      <x:c r="H984" s="10" t="n">
        <x:v>74</x:v>
      </x:c>
      <x:c r="I984" s="11" t="n">
        <x:f aca="0">ROUND((IF((B984*C984)/90000&lt;1,1))+IF((B984*C984)/90000&gt;=1,(B984*C984)/90000),1.1)</x:f>
        <x:v>1</x:v>
      </x:c>
      <x:c r="J984" s="11" t="n">
        <x:f aca="0">SUM(F984*I984)</x:f>
        <x:v>0</x:v>
      </x:c>
      <x:c r="K984" s="11" t="n">
        <x:f aca="0">SUM(H984*J984)</x:f>
        <x:v>0</x:v>
      </x:c>
      <x:c r="L984" s="11"/>
      <x:c r="M984" s="11" t="n">
        <x:f aca="0">SUM(C984)</x:f>
        <x:v>0</x:v>
      </x:c>
      <x:c r="N984" s="11" t="n">
        <x:f aca="0">SUM(B984-1)</x:f>
        <x:v>-1</x:v>
      </x:c>
      <x:c r="O984" s="11" t="n">
        <x:f aca="0">SUM(F984*1)</x:f>
        <x:v>0</x:v>
      </x:c>
      <x:c r="P984" s="11"/>
      <x:c r="Q984" s="11" t="str">
        <x:f aca="0">A984</x:f>
        <x:v>側封板</x:v>
      </x:c>
      <x:c r="R984" s="1" t="n">
        <x:f aca="0">SUM(+C984*1)*F984</x:f>
        <x:v>0</x:v>
      </x:c>
      <x:c r="S984" s="1" t="n">
        <x:f aca="0">SUM(C984*1)*F984</x:f>
        <x:v>0</x:v>
      </x:c>
      <x:c r="T984"/>
    </x:row>
    <x:row r="985" ht="22.200000762939453" hidden="0">
      <x:c r="A985" s="10" t="s">
        <x:v>33</x:v>
      </x:c>
      <x:c r="B985" s="10"/>
      <x:c r="C985" s="10"/>
      <x:c r="D985" s="10" t="n">
        <x:v>18</x:v>
      </x:c>
      <x:c r="E985" s="10"/>
      <x:c r="F985" s="10"/>
      <x:c r="G985" s="10"/>
      <x:c r="H985" s="10" t="n">
        <x:v>74</x:v>
      </x:c>
      <x:c r="I985" s="11" t="n">
        <x:f aca="0">ROUND((IF((B985*C985)/90000&lt;1,1))+IF((B985*C985)/90000&gt;=1,(B985*C985)/90000),1.1)</x:f>
        <x:v>1</x:v>
      </x:c>
      <x:c r="J985" s="11" t="n">
        <x:f aca="0">SUM(F985*I985)</x:f>
        <x:v>0</x:v>
      </x:c>
      <x:c r="K985" s="11" t="n">
        <x:f aca="0">SUM(H985*J985)</x:f>
        <x:v>0</x:v>
      </x:c>
      <x:c r="L985" s="11"/>
      <x:c r="M985" s="11" t="n">
        <x:f aca="0">SUM(C985)</x:f>
        <x:v>0</x:v>
      </x:c>
      <x:c r="N985" s="11" t="n">
        <x:f aca="0">SUM(B985-1)</x:f>
        <x:v>-1</x:v>
      </x:c>
      <x:c r="O985" s="11" t="n">
        <x:f aca="0">SUM(F985*1)</x:f>
        <x:v>0</x:v>
      </x:c>
      <x:c r="P985" s="11"/>
      <x:c r="Q985" s="11" t="str">
        <x:f aca="0">A985</x:f>
        <x:v>側封板</x:v>
      </x:c>
      <x:c r="R985" s="1" t="n">
        <x:f aca="0">SUM(+C985*1)*F985</x:f>
        <x:v>0</x:v>
      </x:c>
      <x:c r="S985" s="1" t="n">
        <x:f aca="0">SUM(C985*1)*F985</x:f>
        <x:v>0</x:v>
      </x:c>
      <x:c r="T985"/>
    </x:row>
    <x:row r="986" ht="22.200000762939453" hidden="0">
      <x:c r="A986" s="10" t="s">
        <x:v>34</x:v>
      </x:c>
      <x:c r="B986" s="10"/>
      <x:c r="C986" s="10"/>
      <x:c r="D986" s="10" t="n">
        <x:v>18</x:v>
      </x:c>
      <x:c r="E986" s="10"/>
      <x:c r="F986" s="10"/>
      <x:c r="G986" s="10"/>
      <x:c r="H986" s="10" t="n">
        <x:v>74</x:v>
      </x:c>
      <x:c r="I986" s="11" t="n">
        <x:f aca="0">ROUND((IF((B986*C986)/90000&lt;1,1))+IF((B986*C986)/90000&gt;=1,(B986*C986)/90000),1.1)</x:f>
        <x:v>1</x:v>
      </x:c>
      <x:c r="J986" s="11" t="n">
        <x:f aca="0">SUM(F986*I986)</x:f>
        <x:v>0</x:v>
      </x:c>
      <x:c r="K986" s="11" t="n">
        <x:f aca="0">SUM(H986*J986)</x:f>
        <x:v>0</x:v>
      </x:c>
      <x:c r="L986" s="11"/>
      <x:c r="M986" s="11" t="n">
        <x:f aca="0">SUM(C986)</x:f>
        <x:v>0</x:v>
      </x:c>
      <x:c r="N986" s="11" t="n">
        <x:f aca="0">SUM(B986-1)</x:f>
        <x:v>-1</x:v>
      </x:c>
      <x:c r="O986" s="11" t="n">
        <x:f aca="0">SUM(F986*1)</x:f>
        <x:v>0</x:v>
      </x:c>
      <x:c r="P986" s="11"/>
      <x:c r="Q986" s="11" t="str">
        <x:f aca="0">A986</x:f>
        <x:v>軌道板</x:v>
      </x:c>
      <x:c r="R986" s="1" t="n">
        <x:f aca="0">SUM(+C986*1)*F986</x:f>
        <x:v>0</x:v>
      </x:c>
      <x:c r="S986" s="1" t="n">
        <x:f aca="0">SUM(C986*1)*F986</x:f>
        <x:v>0</x:v>
      </x:c>
      <x:c r="T986"/>
    </x:row>
    <x:row r="987" ht="22.200000762939453" hidden="0">
      <x:c r="A987" s="10" t="s">
        <x:v>34</x:v>
      </x:c>
      <x:c r="B987" s="10"/>
      <x:c r="C987" s="10"/>
      <x:c r="D987" s="10" t="n">
        <x:v>18</x:v>
      </x:c>
      <x:c r="E987" s="10"/>
      <x:c r="F987" s="10"/>
      <x:c r="G987" s="10"/>
      <x:c r="H987" s="10" t="n">
        <x:v>74</x:v>
      </x:c>
      <x:c r="I987" s="11" t="n">
        <x:f aca="0">ROUND((IF((B987*C987)/90000&lt;1,1))+IF((B987*C987)/90000&gt;=1,(B987*C987)/90000),1.1)</x:f>
        <x:v>1</x:v>
      </x:c>
      <x:c r="J987" s="11" t="n">
        <x:f aca="0">SUM(F987*I987)</x:f>
        <x:v>0</x:v>
      </x:c>
      <x:c r="K987" s="11" t="n">
        <x:f aca="0">SUM(H987*J987)</x:f>
        <x:v>0</x:v>
      </x:c>
      <x:c r="L987" s="11"/>
      <x:c r="M987" s="11" t="n">
        <x:f aca="0">SUM(C987)</x:f>
        <x:v>0</x:v>
      </x:c>
      <x:c r="N987" s="11" t="n">
        <x:f aca="0">SUM(B987-1)</x:f>
        <x:v>-1</x:v>
      </x:c>
      <x:c r="O987" s="11" t="n">
        <x:f aca="0">SUM(F987*1)</x:f>
        <x:v>0</x:v>
      </x:c>
      <x:c r="P987" s="11"/>
      <x:c r="Q987" s="11" t="str">
        <x:f aca="0">A987</x:f>
        <x:v>軌道板</x:v>
      </x:c>
      <x:c r="R987" s="1" t="n">
        <x:f aca="0">SUM(+C987*1)*F987</x:f>
        <x:v>0</x:v>
      </x:c>
      <x:c r="S987" s="1" t="n">
        <x:f aca="0">SUM(C987*1)*F987</x:f>
        <x:v>0</x:v>
      </x:c>
      <x:c r="T987"/>
    </x:row>
    <x:row r="988" ht="22.200000762939453" hidden="0">
      <x:c r="A988" s="10" t="s">
        <x:v>35</x:v>
      </x:c>
      <x:c r="B988" s="10"/>
      <x:c r="C988" s="10"/>
      <x:c r="D988" s="10" t="n">
        <x:v>18</x:v>
      </x:c>
      <x:c r="E988" s="10"/>
      <x:c r="F988" s="10"/>
      <x:c r="G988" s="10"/>
      <x:c r="H988" s="10" t="n">
        <x:v>69</x:v>
      </x:c>
      <x:c r="I988" s="11" t="n">
        <x:f aca="0">ROUND((IF((B988*C988)/90000&lt;1,1))+IF((B988*C988)/90000&gt;=1,(B988*C988)/90000),1.1)</x:f>
        <x:v>1</x:v>
      </x:c>
      <x:c r="J988" s="11" t="n">
        <x:f aca="0">SUM(F988*I988)</x:f>
        <x:v>0</x:v>
      </x:c>
      <x:c r="K988" s="11" t="n">
        <x:f aca="0">SUM(H988*J988)</x:f>
        <x:v>0</x:v>
      </x:c>
      <x:c r="L988" s="11"/>
      <x:c r="M988" s="11" t="n">
        <x:f aca="0">SUM(C988)</x:f>
        <x:v>0</x:v>
      </x:c>
      <x:c r="N988" s="11" t="n">
        <x:f aca="0">SUM(B988-1)</x:f>
        <x:v>-1</x:v>
      </x:c>
      <x:c r="O988" s="11" t="n">
        <x:f aca="0">SUM(F988*1)</x:f>
        <x:v>0</x:v>
      </x:c>
      <x:c r="P988" s="11"/>
      <x:c r="Q988" s="11" t="str">
        <x:f aca="0">A988</x:f>
        <x:v>擋板</x:v>
      </x:c>
      <x:c r="R988" s="1" t="n">
        <x:f aca="0">SUM(C988*2)*F988</x:f>
        <x:v>0</x:v>
      </x:c>
      <x:c r="T988"/>
    </x:row>
    <x:row r="989" ht="22.200000762939453" hidden="0">
      <x:c r="A989" s="10" t="s">
        <x:v>35</x:v>
      </x:c>
      <x:c r="B989" s="10"/>
      <x:c r="C989" s="10"/>
      <x:c r="D989" s="10" t="n">
        <x:v>18</x:v>
      </x:c>
      <x:c r="E989" s="10"/>
      <x:c r="F989" s="10"/>
      <x:c r="G989" s="10"/>
      <x:c r="H989" s="10" t="n">
        <x:v>69</x:v>
      </x:c>
      <x:c r="I989" s="11" t="n">
        <x:f aca="0">ROUND((IF((B989*C989)/90000&lt;1,1))+IF((B989*C989)/90000&gt;=1,(B989*C989)/90000),1.1)</x:f>
        <x:v>1</x:v>
      </x:c>
      <x:c r="J989" s="11" t="n">
        <x:f aca="0">SUM(F989*I989)</x:f>
        <x:v>0</x:v>
      </x:c>
      <x:c r="K989" s="11" t="n">
        <x:f aca="0">SUM(H989*J989)</x:f>
        <x:v>0</x:v>
      </x:c>
      <x:c r="L989" s="11"/>
      <x:c r="M989" s="11" t="n">
        <x:f aca="0">SUM(C989)</x:f>
        <x:v>0</x:v>
      </x:c>
      <x:c r="N989" s="11" t="n">
        <x:f aca="0">SUM(B989-1)</x:f>
        <x:v>-1</x:v>
      </x:c>
      <x:c r="O989" s="11" t="n">
        <x:f aca="0">SUM(F989*1)</x:f>
        <x:v>0</x:v>
      </x:c>
      <x:c r="P989" s="11"/>
      <x:c r="Q989" s="11" t="str">
        <x:f aca="0">A989</x:f>
        <x:v>擋板</x:v>
      </x:c>
      <x:c r="R989" s="1" t="n">
        <x:f aca="0">SUM(C989*2)*F989</x:f>
        <x:v>0</x:v>
      </x:c>
      <x:c r="T989"/>
    </x:row>
    <x:row r="990" ht="22.200000762939453" hidden="0">
      <x:c r="A990" s="10" t="s">
        <x:v>36</x:v>
      </x:c>
      <x:c r="B990" s="10"/>
      <x:c r="C990" s="10"/>
      <x:c r="D990" s="10" t="n">
        <x:v>8</x:v>
      </x:c>
      <x:c r="E990" s="10"/>
      <x:c r="F990" s="10"/>
      <x:c r="G990" s="10"/>
      <x:c r="H990" s="10" t="n">
        <x:v>69</x:v>
      </x:c>
      <x:c r="I990" s="11" t="n">
        <x:f aca="0">ROUND((IF((B990*C990)/90000&lt;1,1))+IF((B990*C990)/90000&gt;=1,(B990*C990)/90000),1.1)</x:f>
        <x:v>1</x:v>
      </x:c>
      <x:c r="J990" s="11" t="n">
        <x:f aca="0">SUM(F990*I990)</x:f>
        <x:v>0</x:v>
      </x:c>
      <x:c r="K990" s="11" t="n">
        <x:f aca="0">SUM(H990*J990)</x:f>
        <x:v>0</x:v>
      </x:c>
      <x:c r="L990" s="11"/>
      <x:c r="M990" s="11" t="n">
        <x:f aca="0">SUM(C990)</x:f>
        <x:v>0</x:v>
      </x:c>
      <x:c r="N990" s="11" t="n">
        <x:f aca="0">SUM(B990-1)</x:f>
        <x:v>-1</x:v>
      </x:c>
      <x:c r="O990" s="11" t="n">
        <x:f aca="0">SUM(F990*1)</x:f>
        <x:v>0</x:v>
      </x:c>
      <x:c r="P990" s="11"/>
      <x:c r="Q990" s="11" t="str">
        <x:f aca="0">A990</x:f>
        <x:v>襯板</x:v>
      </x:c>
      <x:c r="R990" s="1" t="n">
        <x:f aca="0">SUM(C990*2)*F990</x:f>
        <x:v>0</x:v>
      </x:c>
      <x:c r="T990"/>
    </x:row>
    <x:row r="991" ht="22.200000762939453" hidden="0">
      <x:c r="A991" s="10" t="s">
        <x:v>36</x:v>
      </x:c>
      <x:c r="B991" s="10"/>
      <x:c r="C991" s="10"/>
      <x:c r="D991" s="10" t="n">
        <x:v>8</x:v>
      </x:c>
      <x:c r="E991" s="10"/>
      <x:c r="F991" s="10"/>
      <x:c r="G991" s="10"/>
      <x:c r="H991" s="10" t="n">
        <x:v>69</x:v>
      </x:c>
      <x:c r="I991" s="11" t="n">
        <x:f aca="0">ROUND((IF((B991*C991)/90000&lt;1,1))+IF((B991*C991)/90000&gt;=1,(B991*C991)/90000),1.1)</x:f>
        <x:v>1</x:v>
      </x:c>
      <x:c r="J991" s="11" t="n">
        <x:f aca="0">SUM(F991*I991)</x:f>
        <x:v>0</x:v>
      </x:c>
      <x:c r="K991" s="11" t="n">
        <x:f aca="0">SUM(H991*J991)</x:f>
        <x:v>0</x:v>
      </x:c>
      <x:c r="L991" s="11"/>
      <x:c r="M991" s="11" t="n">
        <x:f aca="0">SUM(C991)</x:f>
        <x:v>0</x:v>
      </x:c>
      <x:c r="N991" s="11" t="n">
        <x:f aca="0">SUM(B991-1)</x:f>
        <x:v>-1</x:v>
      </x:c>
      <x:c r="O991" s="11" t="n">
        <x:f aca="0">SUM(F991*1)</x:f>
        <x:v>0</x:v>
      </x:c>
      <x:c r="P991" s="11"/>
      <x:c r="Q991" s="11" t="str">
        <x:f aca="0">A991</x:f>
        <x:v>襯板</x:v>
      </x:c>
      <x:c r="R991" s="1" t="n">
        <x:f aca="0">SUM(C991*2)*F991</x:f>
        <x:v>0</x:v>
      </x:c>
      <x:c r="T991"/>
    </x:row>
    <x:row r="992" ht="22.200000762939453" hidden="0">
      <x:c r="A992" s="10" t="s">
        <x:v>37</x:v>
      </x:c>
      <x:c r="B992" s="10"/>
      <x:c r="C992" s="10"/>
      <x:c r="D992" s="10" t="n">
        <x:v>8</x:v>
      </x:c>
      <x:c r="E992" s="10"/>
      <x:c r="F992" s="10"/>
      <x:c r="G992" s="10"/>
      <x:c r="H992" s="10" t="n">
        <x:v>50</x:v>
      </x:c>
      <x:c r="I992" s="11" t="n">
        <x:f aca="0">ROUND((IF((B992*C992)/90000&lt;1,1))+IF((B992*C992)/90000&gt;=1,(B992*C992)/90000),1.1)</x:f>
        <x:v>1</x:v>
      </x:c>
      <x:c r="J992" s="11" t="n">
        <x:f aca="0">SUM(F992*I992)</x:f>
        <x:v>0</x:v>
      </x:c>
      <x:c r="K992" s="11" t="n">
        <x:f aca="0">SUM(H992*J992)</x:f>
        <x:v>0</x:v>
      </x:c>
      <x:c r="L992" s="11"/>
      <x:c r="M992" s="11" t="n">
        <x:f aca="0">SUM(C992)</x:f>
        <x:v>0</x:v>
      </x:c>
      <x:c r="N992" s="11" t="n">
        <x:f aca="0">SUM(B992)</x:f>
        <x:v>0</x:v>
      </x:c>
      <x:c r="O992" s="11" t="n">
        <x:f aca="0">SUM(F992*1)</x:f>
        <x:v>0</x:v>
      </x:c>
      <x:c r="P992" s="11"/>
      <x:c r="Q992" s="11" t="str">
        <x:f aca="0">A992</x:f>
        <x:v>背板</x:v>
      </x:c>
      <x:c r="T992"/>
    </x:row>
    <x:row r="993" ht="22.200000762939453" hidden="0">
      <x:c r="A993" s="10" t="s">
        <x:v>37</x:v>
      </x:c>
      <x:c r="B993" s="10"/>
      <x:c r="C993" s="10"/>
      <x:c r="D993" s="10" t="n">
        <x:v>8</x:v>
      </x:c>
      <x:c r="E993" s="10"/>
      <x:c r="F993" s="10"/>
      <x:c r="G993" s="10"/>
      <x:c r="H993" s="10" t="n">
        <x:v>50</x:v>
      </x:c>
      <x:c r="I993" s="11" t="n">
        <x:f aca="0">ROUND((IF((B993*C993)/90000&lt;1,1))+IF((B993*C993)/90000&gt;=1,(B993*C993)/90000),1.1)</x:f>
        <x:v>1</x:v>
      </x:c>
      <x:c r="J993" s="11" t="n">
        <x:f aca="0">SUM(F993*I993)</x:f>
        <x:v>0</x:v>
      </x:c>
      <x:c r="K993" s="11" t="n">
        <x:f aca="0">SUM(H993*J993)</x:f>
        <x:v>0</x:v>
      </x:c>
      <x:c r="L993" s="11"/>
      <x:c r="M993" s="11" t="n">
        <x:f aca="0">SUM(C993)</x:f>
        <x:v>0</x:v>
      </x:c>
      <x:c r="N993" s="11" t="n">
        <x:f aca="0">SUM(B993)</x:f>
        <x:v>0</x:v>
      </x:c>
      <x:c r="O993" s="11" t="n">
        <x:f aca="0">SUM(F993*1)</x:f>
        <x:v>0</x:v>
      </x:c>
      <x:c r="P993" s="11"/>
      <x:c r="Q993" s="11" t="str">
        <x:f aca="0">A993</x:f>
        <x:v>背板</x:v>
      </x:c>
      <x:c r="T993"/>
    </x:row>
    <x:row r="994" ht="22.200000762939453" hidden="0">
      <x:c r="A994" s="10" t="s">
        <x:v>37</x:v>
      </x:c>
      <x:c r="B994" s="10"/>
      <x:c r="C994" s="10"/>
      <x:c r="D994" s="10" t="n">
        <x:v>8</x:v>
      </x:c>
      <x:c r="E994" s="10"/>
      <x:c r="F994" s="10"/>
      <x:c r="G994" s="10"/>
      <x:c r="H994" s="10" t="n">
        <x:v>50</x:v>
      </x:c>
      <x:c r="I994" s="11" t="n">
        <x:f aca="0">ROUND((IF((B994*C994)/90000&lt;1,1))+IF((B994*C994)/90000&gt;=1,(B994*C994)/90000),1.1)</x:f>
        <x:v>1</x:v>
      </x:c>
      <x:c r="J994" s="11" t="n">
        <x:f aca="0">SUM(F994*I994)</x:f>
        <x:v>0</x:v>
      </x:c>
      <x:c r="K994" s="11" t="n">
        <x:f aca="0">SUM(H994*J994)</x:f>
        <x:v>0</x:v>
      </x:c>
      <x:c r="L994" s="11"/>
      <x:c r="M994" s="11" t="n">
        <x:f aca="0">SUM(C994)</x:f>
        <x:v>0</x:v>
      </x:c>
      <x:c r="N994" s="11" t="n">
        <x:f aca="0">SUM(B994)</x:f>
        <x:v>0</x:v>
      </x:c>
      <x:c r="O994" s="11" t="n">
        <x:f aca="0">SUM(F994*1)</x:f>
        <x:v>0</x:v>
      </x:c>
      <x:c r="P994" s="11"/>
      <x:c r="Q994" s="11" t="str">
        <x:f aca="0">A994</x:f>
        <x:v>背板</x:v>
      </x:c>
      <x:c r="T994"/>
    </x:row>
    <x:row r="995" ht="22.200000762939453" hidden="0">
      <x:c r="A995" s="10" t="s">
        <x:v>37</x:v>
      </x:c>
      <x:c r="B995" s="10"/>
      <x:c r="C995" s="10"/>
      <x:c r="D995" s="10" t="n">
        <x:v>8</x:v>
      </x:c>
      <x:c r="E995" s="10"/>
      <x:c r="F995" s="10"/>
      <x:c r="G995" s="10"/>
      <x:c r="H995" s="10" t="n">
        <x:v>50</x:v>
      </x:c>
      <x:c r="I995" s="11" t="n">
        <x:f aca="0">ROUND((IF((B995*C995)/90000&lt;1,1))+IF((B995*C995)/90000&gt;=1,(B995*C995)/90000),1.1)</x:f>
        <x:v>1</x:v>
      </x:c>
      <x:c r="J995" s="11" t="n">
        <x:f aca="0">SUM(F995*I995)</x:f>
        <x:v>0</x:v>
      </x:c>
      <x:c r="K995" s="11" t="n">
        <x:f aca="0">SUM(H995*J995)</x:f>
        <x:v>0</x:v>
      </x:c>
      <x:c r="L995" s="11"/>
      <x:c r="M995" s="11" t="n">
        <x:f aca="0">SUM(C995)</x:f>
        <x:v>0</x:v>
      </x:c>
      <x:c r="N995" s="11" t="n">
        <x:f aca="0">SUM(B995)</x:f>
        <x:v>0</x:v>
      </x:c>
      <x:c r="O995" s="11" t="n">
        <x:f aca="0">SUM(F995*1)</x:f>
        <x:v>0</x:v>
      </x:c>
      <x:c r="P995" s="11"/>
      <x:c r="Q995" s="11" t="str">
        <x:f aca="0">A995</x:f>
        <x:v>背板</x:v>
      </x:c>
      <x:c r="T995"/>
    </x:row>
    <x:row r="996" ht="22.200000762939453" hidden="0">
      <x:c r="A996" s="10" t="s">
        <x:v>37</x:v>
      </x:c>
      <x:c r="B996" s="10"/>
      <x:c r="C996" s="10"/>
      <x:c r="D996" s="10" t="n">
        <x:v>8</x:v>
      </x:c>
      <x:c r="E996" s="10"/>
      <x:c r="F996" s="10"/>
      <x:c r="G996" s="10"/>
      <x:c r="H996" s="10" t="n">
        <x:v>50</x:v>
      </x:c>
      <x:c r="I996" s="11" t="n">
        <x:f aca="0">ROUND((IF((B996*C996)/90000&lt;1,1))+IF((B996*C996)/90000&gt;=1,(B996*C996)/90000),1.1)</x:f>
        <x:v>1</x:v>
      </x:c>
      <x:c r="J996" s="11" t="n">
        <x:f aca="0">SUM(F996*I996)</x:f>
        <x:v>0</x:v>
      </x:c>
      <x:c r="K996" s="11" t="n">
        <x:f aca="0">SUM(H996*J996)</x:f>
        <x:v>0</x:v>
      </x:c>
      <x:c r="L996" s="11"/>
      <x:c r="M996" s="11" t="n">
        <x:f aca="0">SUM(C996)</x:f>
        <x:v>0</x:v>
      </x:c>
      <x:c r="N996" s="11" t="n">
        <x:f aca="0">SUM(B996)</x:f>
        <x:v>0</x:v>
      </x:c>
      <x:c r="O996" s="11" t="n">
        <x:f aca="0">SUM(F996*1)</x:f>
        <x:v>0</x:v>
      </x:c>
      <x:c r="P996" s="11"/>
      <x:c r="Q996" s="11" t="str">
        <x:f aca="0">A996</x:f>
        <x:v>背板</x:v>
      </x:c>
      <x:c r="T996"/>
    </x:row>
    <x:row r="997" ht="22.200000762939453" hidden="0">
      <x:c r="A997" s="10" t="s">
        <x:v>38</x:v>
      </x:c>
      <x:c r="B997" s="10"/>
      <x:c r="C997" s="10"/>
      <x:c r="D997" s="10" t="n">
        <x:v>18</x:v>
      </x:c>
      <x:c r="E997" s="10"/>
      <x:c r="F997" s="10"/>
      <x:c r="G997" s="10"/>
      <x:c r="H997" s="10" t="n">
        <x:v>50</x:v>
      </x:c>
      <x:c r="I997" s="11" t="n">
        <x:f aca="0">ROUND((IF((B997*C997)/90000&lt;1,1))+IF((B997*C997)/90000&gt;=1,(B997*C997)/90000),1.1)</x:f>
        <x:v>1</x:v>
      </x:c>
      <x:c r="J997" s="11" t="n">
        <x:f aca="0">SUM(F997*I997)</x:f>
        <x:v>0</x:v>
      </x:c>
      <x:c r="K997" s="11" t="n">
        <x:f aca="0">SUM(H997*J997)</x:f>
        <x:v>0</x:v>
      </x:c>
      <x:c r="L997" s="11"/>
      <x:c r="M997" s="11" t="n">
        <x:f aca="0">SUM(C997)</x:f>
        <x:v>0</x:v>
      </x:c>
      <x:c r="N997" s="11" t="n">
        <x:f aca="0">SUM(B997)</x:f>
        <x:v>0</x:v>
      </x:c>
      <x:c r="O997" s="11" t="n">
        <x:f aca="0">SUM(F997*1)</x:f>
        <x:v>0</x:v>
      </x:c>
      <x:c r="P997" s="11"/>
      <x:c r="Q997" s="11" t="str">
        <x:f aca="0">A997</x:f>
        <x:v>踢腳板</x:v>
      </x:c>
      <x:c r="R997" s="1" t="n">
        <x:f aca="0">SUM(C997*1)*F997</x:f>
        <x:v>0</x:v>
      </x:c>
      <x:c r="T997"/>
    </x:row>
    <x:row r="998" ht="22.200000762939453" hidden="0">
      <x:c r="A998" s="10" t="s">
        <x:v>39</x:v>
      </x:c>
      <x:c r="B998" s="10"/>
      <x:c r="C998" s="10"/>
      <x:c r="D998" s="10" t="n">
        <x:v>25</x:v>
      </x:c>
      <x:c r="E998" s="10"/>
      <x:c r="F998" s="10"/>
      <x:c r="G998" s="10"/>
      <x:c r="H998" s="10" t="n">
        <x:v>126</x:v>
      </x:c>
      <x:c r="I998" s="11" t="n">
        <x:f aca="0">ROUND((IF((B998*C998)/90000&lt;1,1))+IF((B998*C998)/90000&gt;=1,(B998*C998)/90000),1.1)</x:f>
        <x:v>1</x:v>
      </x:c>
      <x:c r="J998" s="11" t="n">
        <x:f aca="0">SUM(F998*I998)</x:f>
        <x:v>0</x:v>
      </x:c>
      <x:c r="K998" s="11" t="n">
        <x:f aca="0">SUM(H998*J998)</x:f>
        <x:v>0</x:v>
      </x:c>
      <x:c r="L998" s="11"/>
      <x:c r="M998" s="11" t="n">
        <x:f aca="0">SUM(C998)</x:f>
        <x:v>0</x:v>
      </x:c>
      <x:c r="N998" s="11" t="n">
        <x:f aca="0">SUM(B998-1)</x:f>
        <x:v>-1</x:v>
      </x:c>
      <x:c r="O998" s="11" t="n">
        <x:f aca="0">SUM(F998*1)</x:f>
        <x:v>0</x:v>
      </x:c>
      <x:c r="P998" s="11"/>
      <x:c r="Q998" s="11" t="str">
        <x:f aca="0">A998</x:f>
        <x:v>檯面</x:v>
      </x:c>
      <x:c r="S998" s="1" t="n">
        <x:f aca="0">SUM(B998*2+C998*1)*F998</x:f>
        <x:v>0</x:v>
      </x:c>
      <x:c r="T998"/>
    </x:row>
    <x:row r="999" ht="22.200000762939453" hidden="0">
      <x:c r="A999" s="10" t="s">
        <x:v>40</x:v>
      </x:c>
      <x:c r="B999" s="10"/>
      <x:c r="C999" s="10"/>
      <x:c r="D999" s="10" t="n">
        <x:v>18</x:v>
      </x:c>
      <x:c r="E999" s="10"/>
      <x:c r="F999" s="10"/>
      <x:c r="G999" s="10"/>
      <x:c r="H999" s="10" t="n">
        <x:v>65</x:v>
      </x:c>
      <x:c r="I999" s="11" t="n">
        <x:f aca="0">ROUND((IF((B999*C999)/90000&lt;1,1))+IF((B999*C999)/90000&gt;=1,(B999*C999)/90000),1.1)</x:f>
        <x:v>1</x:v>
      </x:c>
      <x:c r="J999" s="11" t="n">
        <x:f aca="0">SUM(F999*I999)</x:f>
        <x:v>0</x:v>
      </x:c>
      <x:c r="K999" s="11" t="n">
        <x:f aca="0">SUM(H999*J999)</x:f>
        <x:v>0</x:v>
      </x:c>
      <x:c r="L999" s="11"/>
      <x:c r="M999" s="11" t="n">
        <x:f aca="0">SUM(C999)</x:f>
        <x:v>0</x:v>
      </x:c>
      <x:c r="N999" s="11" t="n">
        <x:f aca="0">SUM(B999)</x:f>
        <x:v>0</x:v>
      </x:c>
      <x:c r="O999" s="11" t="n">
        <x:f aca="0">SUM(F999*1)</x:f>
        <x:v>0</x:v>
      </x:c>
      <x:c r="P999" s="11"/>
      <x:c r="Q999" s="11" t="str">
        <x:f aca="0">A999</x:f>
        <x:v>背條</x:v>
      </x:c>
      <x:c r="T999"/>
    </x:row>
    <x:row r="1000" ht="22.200000762939453" hidden="0">
      <x:c r="A1000" s="10" t="s">
        <x:v>40</x:v>
      </x:c>
      <x:c r="B1000" s="10"/>
      <x:c r="C1000" s="10"/>
      <x:c r="D1000" s="10" t="n">
        <x:v>18</x:v>
      </x:c>
      <x:c r="E1000" s="10"/>
      <x:c r="F1000" s="10"/>
      <x:c r="G1000" s="10"/>
      <x:c r="H1000" s="10" t="n">
        <x:v>65</x:v>
      </x:c>
      <x:c r="I1000" s="11" t="n">
        <x:f aca="0">ROUND((IF((B1000*C1000)/90000&lt;1,1))+IF((B1000*C1000)/90000&gt;=1,(B1000*C1000)/90000),1.1)</x:f>
        <x:v>1</x:v>
      </x:c>
      <x:c r="J1000" s="11" t="n">
        <x:f aca="0">SUM(F1000*I1000)</x:f>
        <x:v>0</x:v>
      </x:c>
      <x:c r="K1000" s="11" t="n">
        <x:f aca="0">SUM(H1000*J1000)</x:f>
        <x:v>0</x:v>
      </x:c>
      <x:c r="L1000" s="11"/>
      <x:c r="M1000" s="11" t="n">
        <x:f aca="0">SUM(C1000)</x:f>
        <x:v>0</x:v>
      </x:c>
      <x:c r="N1000" s="11" t="n">
        <x:f aca="0">SUM(B1000)</x:f>
        <x:v>0</x:v>
      </x:c>
      <x:c r="O1000" s="11" t="n">
        <x:f aca="0">SUM(F1000*1)</x:f>
        <x:v>0</x:v>
      </x:c>
      <x:c r="P1000" s="11"/>
      <x:c r="Q1000" s="11" t="str">
        <x:f aca="0">A1000</x:f>
        <x:v>背條</x:v>
      </x:c>
      <x:c r="T1000"/>
    </x:row>
    <x:row r="1001" ht="22.200000762939453" hidden="0">
      <x:c r="A1001" s="10" t="s">
        <x:v>40</x:v>
      </x:c>
      <x:c r="B1001" s="10"/>
      <x:c r="C1001" s="10"/>
      <x:c r="D1001" s="10" t="n">
        <x:v>18</x:v>
      </x:c>
      <x:c r="E1001" s="10"/>
      <x:c r="F1001" s="10"/>
      <x:c r="G1001" s="10"/>
      <x:c r="H1001" s="10" t="n">
        <x:v>65</x:v>
      </x:c>
      <x:c r="I1001" s="11" t="n">
        <x:f aca="0">ROUND((IF((B1001*C1001)/90000&lt;1,1))+IF((B1001*C1001)/90000&gt;=1,(B1001*C1001)/90000),1.1)</x:f>
        <x:v>1</x:v>
      </x:c>
      <x:c r="J1001" s="11" t="n">
        <x:f aca="0">SUM(F1001*I1001)</x:f>
        <x:v>0</x:v>
      </x:c>
      <x:c r="K1001" s="11" t="n">
        <x:f aca="0">SUM(H1001*J1001)</x:f>
        <x:v>0</x:v>
      </x:c>
      <x:c r="L1001" s="11"/>
      <x:c r="M1001" s="11" t="n">
        <x:f aca="0">SUM(C1001)</x:f>
        <x:v>0</x:v>
      </x:c>
      <x:c r="N1001" s="11" t="n">
        <x:f aca="0">SUM(B1001)</x:f>
        <x:v>0</x:v>
      </x:c>
      <x:c r="O1001" s="11" t="n">
        <x:f aca="0">SUM(F1001*1)</x:f>
        <x:v>0</x:v>
      </x:c>
      <x:c r="P1001" s="11"/>
      <x:c r="Q1001" s="11" t="str">
        <x:f aca="0">A1001</x:f>
        <x:v>背條</x:v>
      </x:c>
      <x:c r="T1001"/>
    </x:row>
    <x:row r="1002" ht="22.200000762939453" hidden="0">
      <x:c r="A1002" s="10" t="s">
        <x:v>40</x:v>
      </x:c>
      <x:c r="B1002" s="10"/>
      <x:c r="C1002" s="10"/>
      <x:c r="D1002" s="10" t="n">
        <x:v>18</x:v>
      </x:c>
      <x:c r="E1002" s="10"/>
      <x:c r="F1002" s="10"/>
      <x:c r="G1002" s="10"/>
      <x:c r="H1002" s="10" t="n">
        <x:v>65</x:v>
      </x:c>
      <x:c r="I1002" s="11" t="n">
        <x:f aca="0">ROUND((IF((B1002*C1002)/90000&lt;1,1))+IF((B1002*C1002)/90000&gt;=1,(B1002*C1002)/90000),1.1)</x:f>
        <x:v>1</x:v>
      </x:c>
      <x:c r="J1002" s="11" t="n">
        <x:f aca="0">SUM(F1002*I1002)</x:f>
        <x:v>0</x:v>
      </x:c>
      <x:c r="K1002" s="11" t="n">
        <x:f aca="0">SUM(H1002*J1002)</x:f>
        <x:v>0</x:v>
      </x:c>
      <x:c r="L1002" s="11"/>
      <x:c r="M1002" s="11" t="n">
        <x:f aca="0">SUM(C1002)</x:f>
        <x:v>0</x:v>
      </x:c>
      <x:c r="N1002" s="11" t="n">
        <x:f aca="0">SUM(B1002)</x:f>
        <x:v>0</x:v>
      </x:c>
      <x:c r="O1002" s="11" t="n">
        <x:f aca="0">SUM(F1002*1)</x:f>
        <x:v>0</x:v>
      </x:c>
      <x:c r="P1002" s="11"/>
      <x:c r="Q1002" s="11" t="str">
        <x:f aca="0">A1002</x:f>
        <x:v>背條</x:v>
      </x:c>
      <x:c r="T1002"/>
    </x:row>
    <x:row r="1003" ht="22.200000762939453" hidden="0">
      <x:c r="A1003" s="12" t="s">
        <x:v>41</x:v>
      </x:c>
      <x:c r="B1003" s="10"/>
      <x:c r="C1003" s="10"/>
      <x:c r="D1003" s="10"/>
      <x:c r="E1003" s="10"/>
      <x:c r="F1003" s="10"/>
      <x:c r="G1003" s="10"/>
      <x:c r="H1003" s="10" t="n">
        <x:v>11</x:v>
      </x:c>
      <x:c r="I1003" s="11"/>
      <x:c r="J1003" s="11"/>
      <x:c r="K1003" s="11" t="n">
        <x:f aca="0">SUM(F1003*H1003)</x:f>
        <x:v>0</x:v>
      </x:c>
      <x:c r="L1003" s="11"/>
      <x:c r="M1003" s="11"/>
      <x:c r="N1003" s="11"/>
      <x:c r="O1003" s="11"/>
      <x:c r="P1003" s="11"/>
      <x:c r="Q1003" s="11"/>
      <x:c r="T1003"/>
    </x:row>
    <x:row r="1004" ht="22.200000762939453" hidden="0">
      <x:c r="A1004" s="12" t="s">
        <x:v>42</x:v>
      </x:c>
      <x:c r="B1004" s="10"/>
      <x:c r="C1004" s="10"/>
      <x:c r="D1004" s="10"/>
      <x:c r="E1004" s="10"/>
      <x:c r="F1004" s="10"/>
      <x:c r="G1004" s="10"/>
      <x:c r="H1004" s="10" t="n">
        <x:v>9</x:v>
      </x:c>
      <x:c r="I1004" s="11"/>
      <x:c r="J1004" s="11"/>
      <x:c r="K1004" s="11" t="n">
        <x:f aca="0">SUM(F1004*H1004)</x:f>
        <x:v>0</x:v>
      </x:c>
      <x:c r="L1004" s="11"/>
      <x:c r="M1004" s="11"/>
      <x:c r="N1004" s="11"/>
      <x:c r="O1004" s="11"/>
      <x:c r="P1004" s="11"/>
      <x:c r="Q1004" s="11"/>
      <x:c r="R1004" s="9"/>
      <x:c r="S1004" s="13"/>
      <x:c r="T1004"/>
    </x:row>
    <x:row r="1005" ht="22.200000762939453" hidden="0">
      <x:c r="A1005" s="10" t="s">
        <x:v>43</x:v>
      </x:c>
      <x:c r="B1005" s="10"/>
      <x:c r="C1005" s="10"/>
      <x:c r="D1005" s="10"/>
      <x:c r="E1005" s="10"/>
      <x:c r="F1005" s="10"/>
      <x:c r="G1005" s="10"/>
      <x:c r="H1005" s="10" t="n">
        <x:v>1</x:v>
      </x:c>
      <x:c r="I1005" s="11"/>
      <x:c r="J1005" s="11"/>
      <x:c r="K1005" s="11" t="n">
        <x:f aca="0">SUM(F1005*H1005)</x:f>
        <x:v>0</x:v>
      </x:c>
      <x:c r="L1005" s="11"/>
      <x:c r="M1005" s="11"/>
      <x:c r="N1005" s="11"/>
      <x:c r="O1005" s="11"/>
      <x:c r="P1005" s="11"/>
      <x:c r="Q1005" s="11"/>
      <x:c r="T1005"/>
    </x:row>
    <x:row r="1006" ht="22.200000762939453" hidden="0">
      <x:c r="A1006" s="10" t="s">
        <x:v>44</x:v>
      </x:c>
      <x:c r="B1006" s="10"/>
      <x:c r="C1006" s="10"/>
      <x:c r="D1006" s="10"/>
      <x:c r="E1006" s="10"/>
      <x:c r="F1006" s="10"/>
      <x:c r="G1006" s="10"/>
      <x:c r="H1006" s="10" t="n">
        <x:v>11</x:v>
      </x:c>
      <x:c r="I1006" s="11"/>
      <x:c r="J1006" s="11"/>
      <x:c r="K1006" s="11" t="n">
        <x:f aca="0">SUM(F1006*H1006)</x:f>
        <x:v>0</x:v>
      </x:c>
      <x:c r="L1006" s="11"/>
      <x:c r="M1006" s="11"/>
      <x:c r="N1006" s="11"/>
      <x:c r="O1006" s="11"/>
      <x:c r="P1006" s="11"/>
      <x:c r="Q1006" s="11"/>
      <x:c r="T1006"/>
    </x:row>
    <x:row r="1007" ht="22.200000762939453" hidden="0">
      <x:c r="A1007" s="10" t="s">
        <x:v>45</x:v>
      </x:c>
      <x:c r="B1007" s="10"/>
      <x:c r="C1007" s="10"/>
      <x:c r="D1007" s="10"/>
      <x:c r="E1007" s="10"/>
      <x:c r="F1007" s="10"/>
      <x:c r="G1007" s="10"/>
      <x:c r="H1007" s="10" t="n">
        <x:v>7</x:v>
      </x:c>
      <x:c r="I1007" s="11"/>
      <x:c r="J1007" s="11"/>
      <x:c r="K1007" s="11" t="n">
        <x:f aca="0">SUM(F1007*H1007)</x:f>
        <x:v>0</x:v>
      </x:c>
      <x:c r="L1007" s="11"/>
      <x:c r="M1007" s="11"/>
      <x:c r="N1007" s="11"/>
      <x:c r="O1007" s="11"/>
      <x:c r="P1007" s="11"/>
      <x:c r="Q1007" s="11"/>
      <x:c r="T1007"/>
    </x:row>
    <x:row r="1008" ht="22.200000762939453" hidden="0">
      <x:c r="A1008" s="12" t="s">
        <x:v>65</x:v>
      </x:c>
      <x:c r="B1008" s="10"/>
      <x:c r="C1008" s="10"/>
      <x:c r="D1008" s="10"/>
      <x:c r="E1008" s="10"/>
      <x:c r="F1008" s="10"/>
      <x:c r="G1008" s="10"/>
      <x:c r="H1008" s="10" t="n">
        <x:v>50</x:v>
      </x:c>
      <x:c r="I1008" s="11"/>
      <x:c r="J1008" s="11"/>
      <x:c r="K1008" s="11" t="n">
        <x:f aca="0">SUM(F1008*H1008)</x:f>
        <x:v>0</x:v>
      </x:c>
      <x:c r="L1008" s="11"/>
      <x:c r="M1008" s="11"/>
      <x:c r="N1008" s="11"/>
      <x:c r="O1008" s="11"/>
      <x:c r="P1008" s="11"/>
      <x:c r="Q1008" s="11"/>
      <x:c r="T1008"/>
    </x:row>
    <x:row r="1009" ht="22.200000762939453" hidden="0">
      <x:c r="A1009" s="10" t="s">
        <x:v>47</x:v>
      </x:c>
      <x:c r="B1009" s="10"/>
      <x:c r="C1009" s="10"/>
      <x:c r="D1009" s="10"/>
      <x:c r="E1009" s="10"/>
      <x:c r="F1009" s="10"/>
      <x:c r="G1009" s="10"/>
      <x:c r="H1009" s="10" t="n">
        <x:v>90</x:v>
      </x:c>
      <x:c r="I1009" s="11"/>
      <x:c r="J1009" s="11"/>
      <x:c r="K1009" s="11" t="n">
        <x:f aca="0">SUM(F1009*H1009)</x:f>
        <x:v>0</x:v>
      </x:c>
      <x:c r="L1009" s="11"/>
      <x:c r="M1009" s="11"/>
      <x:c r="N1009" s="11"/>
      <x:c r="O1009" s="11"/>
      <x:c r="P1009" s="11"/>
      <x:c r="Q1009" s="11"/>
      <x:c r="T1009"/>
    </x:row>
    <x:row r="1010" ht="22.200000762939453" hidden="0">
      <x:c r="A1010" s="10" t="s">
        <x:v>48</x:v>
      </x:c>
      <x:c r="B1010" s="10"/>
      <x:c r="C1010" s="10"/>
      <x:c r="D1010" s="10"/>
      <x:c r="E1010" s="10"/>
      <x:c r="F1010" s="10"/>
      <x:c r="G1010" s="10"/>
      <x:c r="H1010" s="10" t="n">
        <x:v>275</x:v>
      </x:c>
      <x:c r="I1010" s="11"/>
      <x:c r="J1010" s="11"/>
      <x:c r="K1010" s="11" t="n">
        <x:f aca="0">SUM(F1010*H1010)</x:f>
        <x:v>0</x:v>
      </x:c>
      <x:c r="L1010" s="11"/>
      <x:c r="M1010" s="11"/>
      <x:c r="N1010" s="11"/>
      <x:c r="O1010" s="11"/>
      <x:c r="P1010" s="11"/>
      <x:c r="Q1010" s="11"/>
      <x:c r="T1010"/>
    </x:row>
    <x:row r="1011" ht="22.200000762939453" hidden="0">
      <x:c r="A1011" s="12" t="s">
        <x:v>49</x:v>
      </x:c>
      <x:c r="B1011" s="10"/>
      <x:c r="C1011" s="10"/>
      <x:c r="D1011" s="10"/>
      <x:c r="E1011" s="10"/>
      <x:c r="F1011" s="10"/>
      <x:c r="G1011" s="10"/>
      <x:c r="H1011" s="10" t="n">
        <x:v>165</x:v>
      </x:c>
      <x:c r="I1011" s="11"/>
      <x:c r="J1011" s="11"/>
      <x:c r="K1011" s="11" t="n">
        <x:f aca="0">SUM(F1011*H1011)</x:f>
        <x:v>0</x:v>
      </x:c>
      <x:c r="L1011" s="11"/>
      <x:c r="M1011" s="11"/>
      <x:c r="N1011" s="11"/>
      <x:c r="O1011" s="11"/>
      <x:c r="P1011" s="11"/>
      <x:c r="Q1011" s="11"/>
      <x:c r="T1011"/>
    </x:row>
    <x:row r="1012" ht="22.200000762939453" hidden="0">
      <x:c r="A1012" s="12" t="s">
        <x:v>50</x:v>
      </x:c>
      <x:c r="B1012" s="10"/>
      <x:c r="C1012" s="10"/>
      <x:c r="D1012" s="10"/>
      <x:c r="E1012" s="10"/>
      <x:c r="F1012" s="10"/>
      <x:c r="G1012" s="10"/>
      <x:c r="H1012" s="10"/>
      <x:c r="I1012" s="11"/>
      <x:c r="J1012" s="11"/>
      <x:c r="K1012" s="11" t="n">
        <x:f aca="0">SUM(F1012*H1012)</x:f>
        <x:v>0</x:v>
      </x:c>
      <x:c r="L1012" s="11"/>
      <x:c r="M1012" s="11"/>
      <x:c r="N1012" s="11"/>
      <x:c r="O1012" s="11"/>
      <x:c r="P1012" s="11"/>
      <x:c r="Q1012" s="11"/>
      <x:c r="T1012"/>
    </x:row>
    <x:row r="1013" ht="22.200000762939453" hidden="0">
      <x:c r="A1013" s="12" t="s">
        <x:v>51</x:v>
      </x:c>
      <x:c r="B1013" s="10"/>
      <x:c r="C1013" s="10"/>
      <x:c r="D1013" s="10"/>
      <x:c r="E1013" s="10"/>
      <x:c r="F1013" s="10"/>
      <x:c r="G1013" s="10"/>
      <x:c r="H1013" s="10"/>
      <x:c r="I1013" s="11"/>
      <x:c r="J1013" s="11"/>
      <x:c r="K1013" s="11" t="n">
        <x:f aca="0">SUM(F1013*H1013)</x:f>
        <x:v>0</x:v>
      </x:c>
      <x:c r="L1013" s="11"/>
      <x:c r="M1013" s="11"/>
      <x:c r="N1013" s="11"/>
      <x:c r="O1013" s="11"/>
      <x:c r="P1013" s="11"/>
      <x:c r="Q1013" s="11"/>
      <x:c r="T1013"/>
    </x:row>
    <x:row r="1014" ht="22.200000762939453" hidden="0">
      <x:c r="A1014" s="12" t="s">
        <x:v>52</x:v>
      </x:c>
      <x:c r="B1014" s="10"/>
      <x:c r="C1014" s="10"/>
      <x:c r="D1014" s="10"/>
      <x:c r="E1014" s="10"/>
      <x:c r="F1014" s="10"/>
      <x:c r="G1014" s="10"/>
      <x:c r="H1014" s="10"/>
      <x:c r="I1014" s="11"/>
      <x:c r="J1014" s="11"/>
      <x:c r="K1014" s="11" t="n">
        <x:f aca="0">SUM(F1014*H1014)</x:f>
        <x:v>0</x:v>
      </x:c>
      <x:c r="L1014" s="11"/>
      <x:c r="M1014" s="11"/>
      <x:c r="N1014" s="11"/>
      <x:c r="O1014" s="11"/>
      <x:c r="P1014" s="11"/>
      <x:c r="Q1014" s="11"/>
      <x:c r="T1014"/>
    </x:row>
    <x:row r="1015" ht="22.200000762939453" hidden="0">
      <x:c r="A1015" s="12" t="s">
        <x:v>53</x:v>
      </x:c>
      <x:c r="B1015" s="10"/>
      <x:c r="C1015" s="10"/>
      <x:c r="D1015" s="10"/>
      <x:c r="E1015" s="10"/>
      <x:c r="F1015" s="10"/>
      <x:c r="G1015" s="10"/>
      <x:c r="H1015" s="10" t="n">
        <x:v>66</x:v>
      </x:c>
      <x:c r="I1015" s="11"/>
      <x:c r="J1015" s="11"/>
      <x:c r="K1015" s="11" t="n">
        <x:f aca="0">SUM(F1015*H1015)</x:f>
        <x:v>0</x:v>
      </x:c>
      <x:c r="L1015" s="11"/>
      <x:c r="M1015" s="11"/>
      <x:c r="N1015" s="11"/>
      <x:c r="O1015" s="11"/>
      <x:c r="P1015" s="11"/>
      <x:c r="Q1015" s="11"/>
      <x:c r="T1015"/>
    </x:row>
    <x:row r="1016" ht="22.200000762939453" hidden="0">
      <x:c r="A1016" s="10" t="s">
        <x:v>54</x:v>
      </x:c>
      <x:c r="B1016" s="10"/>
      <x:c r="C1016" s="10"/>
      <x:c r="D1016" s="10"/>
      <x:c r="E1016" s="10"/>
      <x:c r="F1016" s="10"/>
      <x:c r="G1016" s="10"/>
      <x:c r="H1016" s="10" t="n">
        <x:v>220</x:v>
      </x:c>
      <x:c r="I1016" s="11"/>
      <x:c r="J1016" s="11"/>
      <x:c r="K1016" s="11" t="n">
        <x:f aca="0">SUM(F1016*H1016)</x:f>
        <x:v>0</x:v>
      </x:c>
      <x:c r="L1016" s="11"/>
      <x:c r="M1016" s="11"/>
      <x:c r="N1016" s="11"/>
      <x:c r="O1016" s="11"/>
      <x:c r="P1016" s="11"/>
      <x:c r="Q1016" s="11"/>
      <x:c r="T1016"/>
    </x:row>
    <x:row r="1017" ht="22.200000762939453" hidden="0">
      <x:c r="A1017" s="12" t="s">
        <x:v>55</x:v>
      </x:c>
      <x:c r="B1017" s="10"/>
      <x:c r="C1017" s="10"/>
      <x:c r="D1017" s="10"/>
      <x:c r="E1017" s="10"/>
      <x:c r="F1017" s="10"/>
      <x:c r="G1017" s="10"/>
      <x:c r="H1017" s="10"/>
      <x:c r="I1017" s="11"/>
      <x:c r="J1017" s="11"/>
      <x:c r="K1017" s="11" t="n">
        <x:f aca="0">SUM(F1017*H1017)</x:f>
        <x:v>0</x:v>
      </x:c>
      <x:c r="L1017" s="11"/>
      <x:c r="M1017" s="11"/>
      <x:c r="N1017" s="11"/>
      <x:c r="O1017" s="11"/>
      <x:c r="P1017" s="11"/>
      <x:c r="Q1017" s="11"/>
      <x:c r="T1017"/>
    </x:row>
    <x:row r="1018" ht="22.200000762939453" hidden="0">
      <x:c r="A1018" s="10" t="s">
        <x:v>56</x:v>
      </x:c>
      <x:c r="B1018" s="10"/>
      <x:c r="C1018" s="10"/>
      <x:c r="D1018" s="10"/>
      <x:c r="E1018" s="10"/>
      <x:c r="F1018" s="10"/>
      <x:c r="G1018" s="10"/>
      <x:c r="H1018" s="10" t="n">
        <x:v>800</x:v>
      </x:c>
      <x:c r="I1018" s="11"/>
      <x:c r="J1018" s="11"/>
      <x:c r="K1018" s="11" t="n">
        <x:f aca="0">SUM(F1018*H1018)</x:f>
        <x:v>0</x:v>
      </x:c>
      <x:c r="L1018" s="11"/>
      <x:c r="M1018" s="11"/>
      <x:c r="N1018" s="11"/>
      <x:c r="O1018" s="11"/>
      <x:c r="P1018" s="11"/>
      <x:c r="Q1018" s="11"/>
      <x:c r="T1018"/>
    </x:row>
    <x:row r="1019" ht="22.200000762939453" hidden="0">
      <x:c r="A1019" s="10" t="s">
        <x:v>57</x:v>
      </x:c>
      <x:c r="B1019" s="10"/>
      <x:c r="C1019" s="10"/>
      <x:c r="D1019" s="10"/>
      <x:c r="E1019" s="10"/>
      <x:c r="F1019" s="10"/>
      <x:c r="G1019" s="10"/>
      <x:c r="H1019" s="10" t="n">
        <x:v>200</x:v>
      </x:c>
      <x:c r="I1019" s="11"/>
      <x:c r="J1019" s="11"/>
      <x:c r="K1019" s="11" t="n">
        <x:f aca="0">SUM(F1019*H1019)</x:f>
        <x:v>0</x:v>
      </x:c>
      <x:c r="L1019" s="11"/>
      <x:c r="M1019" s="11"/>
      <x:c r="N1019" s="11"/>
      <x:c r="O1019" s="11"/>
      <x:c r="P1019" s="11"/>
      <x:c r="Q1019" s="11"/>
      <x:c r="T1019"/>
    </x:row>
    <x:row r="1020" ht="22.200000762939453" hidden="0">
      <x:c r="A1020" s="10" t="s">
        <x:v>58</x:v>
      </x:c>
      <x:c r="B1020" s="10"/>
      <x:c r="C1020" s="10"/>
      <x:c r="D1020" s="10"/>
      <x:c r="E1020" s="10"/>
      <x:c r="F1020" s="10"/>
      <x:c r="G1020" s="10"/>
      <x:c r="H1020" s="10" t="n">
        <x:v>150</x:v>
      </x:c>
      <x:c r="I1020" s="11"/>
      <x:c r="J1020" s="11"/>
      <x:c r="K1020" s="11" t="n">
        <x:f aca="0">SUM(F1020*H1020)</x:f>
        <x:v>0</x:v>
      </x:c>
      <x:c r="L1020" s="11"/>
      <x:c r="M1020" s="11"/>
      <x:c r="N1020" s="11"/>
      <x:c r="O1020" s="11"/>
      <x:c r="P1020" s="11"/>
      <x:c r="Q1020" s="11"/>
      <x:c r="T1020"/>
    </x:row>
    <x:row r="1021" ht="22.200000762939453" hidden="0">
      <x:c r="A1021" s="10" t="s">
        <x:v>59</x:v>
      </x:c>
      <x:c r="B1021" s="10"/>
      <x:c r="C1021" s="10"/>
      <x:c r="D1021" s="10"/>
      <x:c r="E1021" s="10"/>
      <x:c r="F1021" s="10"/>
      <x:c r="G1021" s="10"/>
      <x:c r="H1021" s="10" t="n">
        <x:v>34</x:v>
      </x:c>
      <x:c r="I1021" s="11"/>
      <x:c r="J1021" s="11"/>
      <x:c r="K1021" s="11" t="n">
        <x:f aca="0">SUM(F1021*H1021)</x:f>
        <x:v>0</x:v>
      </x:c>
      <x:c r="L1021" s="11"/>
      <x:c r="M1021" s="11"/>
      <x:c r="N1021" s="11"/>
      <x:c r="O1021" s="11"/>
      <x:c r="P1021" s="11"/>
      <x:c r="Q1021" s="11"/>
      <x:c r="T1021"/>
    </x:row>
    <x:row r="1022" ht="22.200000762939453" hidden="0">
      <x:c r="A1022" s="10" t="s">
        <x:v>60</x:v>
      </x:c>
      <x:c r="B1022" s="10"/>
      <x:c r="C1022" s="10"/>
      <x:c r="D1022" s="10"/>
      <x:c r="E1022" s="10"/>
      <x:c r="F1022" s="10"/>
      <x:c r="G1022" s="10"/>
      <x:c r="H1022" s="10" t="n">
        <x:v>6</x:v>
      </x:c>
      <x:c r="I1022" s="11"/>
      <x:c r="J1022" s="11"/>
      <x:c r="K1022" s="11" t="n">
        <x:f aca="0">SUM(F1022*H1022)</x:f>
        <x:v>0</x:v>
      </x:c>
      <x:c r="L1022" s="11"/>
      <x:c r="M1022" s="11"/>
      <x:c r="N1022" s="11"/>
      <x:c r="O1022" s="11"/>
      <x:c r="P1022" s="11"/>
      <x:c r="Q1022" s="11"/>
      <x:c r="T1022"/>
    </x:row>
    <x:row r="1023" ht="22.200000762939453" hidden="0">
      <x:c r="A1023" s="10" t="s">
        <x:v>61</x:v>
      </x:c>
      <x:c r="B1023" s="10"/>
      <x:c r="C1023" s="10"/>
      <x:c r="D1023" s="10"/>
      <x:c r="E1023" s="10"/>
      <x:c r="F1023" s="10"/>
      <x:c r="G1023" s="10"/>
      <x:c r="H1023" s="10" t="n">
        <x:v>670</x:v>
      </x:c>
      <x:c r="I1023" s="11"/>
      <x:c r="J1023" s="11"/>
      <x:c r="K1023" s="11" t="n">
        <x:f aca="0">SUM(F1023*H1023)</x:f>
        <x:v>0</x:v>
      </x:c>
      <x:c r="L1023" s="11"/>
      <x:c r="M1023" s="11"/>
      <x:c r="N1023" s="11"/>
      <x:c r="O1023" s="11"/>
      <x:c r="P1023" s="11"/>
      <x:c r="Q1023" s="11"/>
      <x:c r="T1023"/>
    </x:row>
    <x:row r="1024" ht="22.200000762939453" hidden="0">
      <x:c r="A1024" s="10" t="s">
        <x:v>62</x:v>
      </x:c>
      <x:c r="B1024" s="10"/>
      <x:c r="C1024" s="10"/>
      <x:c r="D1024" s="10"/>
      <x:c r="E1024" s="10"/>
      <x:c r="F1024" s="10"/>
      <x:c r="G1024" s="10"/>
      <x:c r="H1024" s="10" t="n">
        <x:v>110</x:v>
      </x:c>
      <x:c r="I1024" s="11"/>
      <x:c r="J1024" s="11"/>
      <x:c r="K1024" s="11" t="n">
        <x:f aca="0">SUM(F1024*H1024)</x:f>
        <x:v>0</x:v>
      </x:c>
      <x:c r="L1024" s="11"/>
      <x:c r="M1024" s="11"/>
      <x:c r="N1024" s="11"/>
      <x:c r="O1024" s="11"/>
      <x:c r="P1024" s="11"/>
      <x:c r="Q1024" s="11"/>
      <x:c r="T1024"/>
    </x:row>
    <x:row r="1025" ht="22.200000762939453" hidden="0">
      <x:c r="A1025" s="10" t="s">
        <x:v>63</x:v>
      </x:c>
      <x:c r="B1025" s="10"/>
      <x:c r="C1025" s="10"/>
      <x:c r="D1025" s="10"/>
      <x:c r="E1025" s="10"/>
      <x:c r="F1025" s="10"/>
      <x:c r="G1025" s="10"/>
      <x:c r="H1025" s="10"/>
      <x:c r="I1025" s="11"/>
      <x:c r="J1025" s="11"/>
      <x:c r="K1025" s="11" t="n">
        <x:f aca="0">SUM(F1025*H1025)</x:f>
        <x:v>0</x:v>
      </x:c>
      <x:c r="L1025" s="11"/>
      <x:c r="M1025" s="11"/>
      <x:c r="N1025" s="11"/>
      <x:c r="O1025" s="11"/>
      <x:c r="P1025" s="11"/>
      <x:c r="Q1025" s="11"/>
      <x:c r="T1025"/>
    </x:row>
    <x:row r="1026" ht="22.200000762939453" hidden="0">
      <x:c r="A1026" s="10"/>
      <x:c r="B1026" s="10"/>
      <x:c r="C1026" s="10"/>
      <x:c r="D1026" s="10"/>
      <x:c r="E1026" s="10"/>
      <x:c r="F1026" s="10"/>
      <x:c r="G1026" s="10"/>
      <x:c r="H1026" s="10"/>
      <x:c r="I1026" s="11"/>
      <x:c r="J1026" s="11"/>
      <x:c r="K1026" s="11" t="n">
        <x:f aca="0">SUM(F1026*H1026)</x:f>
        <x:v>0</x:v>
      </x:c>
      <x:c r="L1026" s="11"/>
      <x:c r="M1026" s="11"/>
      <x:c r="N1026" s="11"/>
      <x:c r="O1026" s="11"/>
      <x:c r="P1026" s="11"/>
      <x:c r="Q1026" s="11"/>
      <x:c r="T1026"/>
    </x:row>
    <x:row r="1027" ht="22.200000762939453" hidden="0">
      <x:c r="A1027" s="15"/>
      <x:c r="B1027" s="15"/>
      <x:c r="C1027" s="15"/>
      <x:c r="D1027" s="15"/>
      <x:c r="E1027" s="15"/>
      <x:c r="F1027" s="15"/>
      <x:c r="G1027" s="15"/>
      <x:c r="H1027" s="15"/>
      <x:c r="I1027" s="11" t="n">
        <x:f aca="0">SUM(B1027*C1027)/90000</x:f>
        <x:v>0</x:v>
      </x:c>
      <x:c r="J1027" s="15" t="s">
        <x:v>17</x:v>
      </x:c>
      <x:c r="K1027" s="16" t="n">
        <x:f aca="0">SUM(K954:K1026)</x:f>
        <x:v>0</x:v>
      </x:c>
      <x:c r="L1027" s="16" t="n">
        <x:f aca="0">SUM(K1027*1.35)</x:f>
        <x:v>0</x:v>
      </x:c>
      <x:c r="M1027" s="16"/>
      <x:c r="N1027" s="16" t="n">
        <x:f aca="0">SUM(M1027*1.25)</x:f>
        <x:v>0</x:v>
      </x:c>
      <x:c r="O1027" s="16"/>
      <x:c r="P1027" s="16"/>
      <x:c r="Q1027" s="16"/>
      <x:c r="T1027"/>
    </x:row>
  </x:sheetData>
  <x:mergeCells>
    <x:mergeCell ref="A2:F2"/>
    <x:mergeCell ref="B3:C3"/>
    <x:mergeCell ref="A81:F81"/>
    <x:mergeCell ref="B82:C82"/>
    <x:mergeCell ref="A160:F160"/>
    <x:mergeCell ref="B161:C161"/>
    <x:mergeCell ref="A239:F239"/>
    <x:mergeCell ref="B240:C240"/>
    <x:mergeCell ref="A318:F318"/>
    <x:mergeCell ref="B319:C319"/>
    <x:mergeCell ref="A397:F397"/>
    <x:mergeCell ref="B398:C398"/>
    <x:mergeCell ref="A477:F477"/>
    <x:mergeCell ref="B478:C478"/>
    <x:mergeCell ref="A556:F556"/>
    <x:mergeCell ref="B557:C557"/>
    <x:mergeCell ref="A635:F635"/>
    <x:mergeCell ref="B636:C636"/>
    <x:mergeCell ref="A713:F713"/>
    <x:mergeCell ref="B714:C714"/>
    <x:mergeCell ref="A793:F793"/>
    <x:mergeCell ref="B794:C794"/>
    <x:mergeCell ref="A873:F873"/>
    <x:mergeCell ref="B874:C874"/>
    <x:mergeCell ref="A952:F952"/>
    <x:mergeCell ref="B953:C9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cols>
    <x:col min="1" max="1" width="10.65999984741211" hidden="0" customWidth="1"/>
    <x:col min="2" max="2" width="10.100000381469727" hidden="0" customWidth="1"/>
    <x:col min="7" max="7" width="9.100000381469727" hidden="0" customWidth="1"/>
    <x:col min="8" max="8" width="9.210000038146973" hidden="0" customWidth="1"/>
    <x:col min="9" max="11" width="10.989999771118164" hidden="0" customWidth="1"/>
    <x:col min="12" max="12" width="14.319999694824219" hidden="0" customWidth="1"/>
  </x:cols>
  <x:sheetData>
    <x:row r="1" ht="21.450000762939453" hidden="0" customHeight="1">
      <x:c r="A1" s="17" t="s">
        <x:v>66</x:v>
      </x:c>
      <x:c r="B1" s="17" t="n">
        <x:v>1</x:v>
      </x:c>
      <x:c r="C1" s="18" t="s">
        <x:v>67</x:v>
      </x:c>
      <x:c r="D1" s="18"/>
      <x:c r="E1" s="18"/>
      <x:c r="F1" s="18"/>
      <x:c r="G1" s="18"/>
      <x:c r="H1" s="19" t="s">
        <x:v>2</x:v>
      </x:c>
      <x:c r="I1" s="19"/>
      <x:c r="J1" s="19"/>
      <x:c r="K1" s="19"/>
      <x:c r="L1" s="19"/>
      <x:c r="M1" s="19"/>
    </x:row>
    <x:row r="2" ht="21.450000762939453" hidden="0" customHeight="1">
      <x:c r="A2" s="20"/>
      <x:c r="B2" s="20"/>
      <x:c r="C2" s="20"/>
      <x:c r="D2" s="20"/>
      <x:c r="E2" s="20"/>
      <x:c r="F2" s="21"/>
      <x:c r="G2" s="21"/>
      <x:c r="H2" s="22"/>
      <x:c r="I2" s="22"/>
      <x:c r="J2" s="22"/>
      <x:c r="K2" s="22"/>
      <x:c r="L2" s="22"/>
      <x:c r="M2" s="22"/>
    </x:row>
    <x:row r="3" ht="22.200000762939453" hidden="0">
      <x:c r="A3" s="23" t="s">
        <x:v>3</x:v>
      </x:c>
      <x:c r="B3" s="23" t="s">
        <x:v>4</x:v>
      </x:c>
      <x:c r="C3" s="23"/>
      <x:c r="D3" s="23" t="s">
        <x:v>5</x:v>
      </x:c>
      <x:c r="E3" s="23" t="s">
        <x:v>6</x:v>
      </x:c>
      <x:c r="F3" s="23" t="s">
        <x:v>7</x:v>
      </x:c>
      <x:c r="G3" s="23" t="s">
        <x:v>8</x:v>
      </x:c>
      <x:c r="H3" s="23" t="s">
        <x:v>9</x:v>
      </x:c>
      <x:c r="I3" s="23" t="s">
        <x:v>10</x:v>
      </x:c>
      <x:c r="J3" s="23"/>
      <x:c r="K3" s="23"/>
      <x:c r="L3" s="23" t="s">
        <x:v>68</x:v>
      </x:c>
      <x:c r="M3" s="23"/>
    </x:row>
    <x:row r="4" ht="22.200000762939453" hidden="0">
      <x:c r="A4" s="24" t="s">
        <x:v>18</x:v>
      </x:c>
      <x:c r="B4" s="24"/>
      <x:c r="C4" s="24"/>
      <x:c r="D4" s="24"/>
      <x:c r="E4" s="24"/>
      <x:c r="F4" s="24"/>
      <x:c r="G4" s="25" t="n">
        <x:f aca="0">ROUND((IF((B4*C4)/90000&lt;1,1))+IF((B4*C4)/90000&gt;=1,(B4*C4)/90000),1.1)</x:f>
        <x:v>1</x:v>
      </x:c>
      <x:c r="H4" s="25" t="n">
        <x:f aca="0">SUM(E4*G4)</x:f>
        <x:v>0</x:v>
      </x:c>
      <x:c r="I4" s="25" t="n">
        <x:f aca="0">SUM(F4*H4)</x:f>
        <x:v>0</x:v>
      </x:c>
      <x:c r="J4" s="25"/>
      <x:c r="K4" s="25"/>
      <x:c r="L4" s="23"/>
      <x:c r="M4" s="23"/>
    </x:row>
    <x:row r="5" ht="22.200000762939453" hidden="0">
      <x:c r="A5" s="24"/>
      <x:c r="B5" s="24"/>
      <x:c r="C5" s="24"/>
      <x:c r="D5" s="24"/>
      <x:c r="E5" s="24"/>
      <x:c r="F5" s="24"/>
      <x:c r="G5" s="25" t="n">
        <x:f aca="0">ROUND((IF((B5*C5)/90000&lt;1,1))+IF((B5*C5)/90000&gt;=1,(B5*C5)/90000),1.1)</x:f>
        <x:v>1</x:v>
      </x:c>
      <x:c r="H5" s="25" t="n">
        <x:f aca="0">SUM(E5*G5)</x:f>
        <x:v>0</x:v>
      </x:c>
      <x:c r="I5" s="25" t="n">
        <x:f aca="0">SUM(F5*H5)</x:f>
        <x:v>0</x:v>
      </x:c>
      <x:c r="J5" s="25"/>
      <x:c r="K5" s="25"/>
      <x:c r="L5" s="23"/>
      <x:c r="M5" s="23"/>
    </x:row>
    <x:row r="6" ht="22.200000762939453" hidden="0">
      <x:c r="A6" s="24"/>
      <x:c r="B6" s="24"/>
      <x:c r="C6" s="24"/>
      <x:c r="D6" s="24"/>
      <x:c r="E6" s="24"/>
      <x:c r="F6" s="24"/>
      <x:c r="G6" s="25" t="n">
        <x:f aca="0">ROUND((IF((B6*C6)/90000&lt;1,1))+IF((B6*C6)/90000&gt;=1,(B6*C6)/90000),1.1)</x:f>
        <x:v>1</x:v>
      </x:c>
      <x:c r="H6" s="25" t="n">
        <x:f aca="0">SUM(E6*G6)</x:f>
        <x:v>0</x:v>
      </x:c>
      <x:c r="I6" s="25" t="n">
        <x:f aca="0">SUM(F6*H6)</x:f>
        <x:v>0</x:v>
      </x:c>
      <x:c r="J6" s="25"/>
      <x:c r="K6" s="25"/>
      <x:c r="L6" s="23"/>
      <x:c r="M6" s="23"/>
    </x:row>
    <x:row r="7" ht="22.200000762939453" hidden="0">
      <x:c r="A7" s="24" t="s">
        <x:v>19</x:v>
      </x:c>
      <x:c r="B7" s="24"/>
      <x:c r="C7" s="24"/>
      <x:c r="D7" s="24"/>
      <x:c r="E7" s="24"/>
      <x:c r="F7" s="24"/>
      <x:c r="G7" s="25" t="n">
        <x:f aca="0">ROUND((IF((B7*C7)/90000&lt;1,1))+IF((B7*C7)/90000&gt;=1,(B7*C7)/90000),1.1)</x:f>
        <x:v>1</x:v>
      </x:c>
      <x:c r="H7" s="25" t="n">
        <x:f aca="0">SUM(E7*G7)</x:f>
        <x:v>0</x:v>
      </x:c>
      <x:c r="I7" s="25" t="n">
        <x:f aca="0">SUM(F7*H7)</x:f>
        <x:v>0</x:v>
      </x:c>
      <x:c r="J7" s="25"/>
      <x:c r="K7" s="25"/>
      <x:c r="L7" s="23"/>
      <x:c r="M7" s="23"/>
    </x:row>
    <x:row r="8" ht="22.200000762939453" hidden="0">
      <x:c r="A8" s="24"/>
      <x:c r="B8" s="24"/>
      <x:c r="C8" s="24"/>
      <x:c r="D8" s="24"/>
      <x:c r="E8" s="24"/>
      <x:c r="F8" s="24"/>
      <x:c r="G8" s="25" t="n">
        <x:f aca="0">ROUND((IF((B8*C8)/90000&lt;1,1))+IF((B8*C8)/90000&gt;=1,(B8*C8)/90000),1.1)</x:f>
        <x:v>1</x:v>
      </x:c>
      <x:c r="H8" s="25" t="n">
        <x:f aca="0">SUM(E8*G8)</x:f>
        <x:v>0</x:v>
      </x:c>
      <x:c r="I8" s="25" t="n">
        <x:f aca="0">SUM(F8*H8)</x:f>
        <x:v>0</x:v>
      </x:c>
      <x:c r="J8" s="25"/>
      <x:c r="K8" s="25"/>
      <x:c r="L8" s="23"/>
      <x:c r="M8" s="23"/>
    </x:row>
    <x:row r="9" ht="22.200000762939453" hidden="0">
      <x:c r="A9" s="24"/>
      <x:c r="B9" s="24"/>
      <x:c r="C9" s="24"/>
      <x:c r="D9" s="24"/>
      <x:c r="E9" s="24"/>
      <x:c r="F9" s="24"/>
      <x:c r="G9" s="25" t="n">
        <x:f aca="0">ROUND((IF((B9*C9)/90000&lt;1,1))+IF((B9*C9)/90000&gt;=1,(B9*C9)/90000),1.1)</x:f>
        <x:v>1</x:v>
      </x:c>
      <x:c r="H9" s="25" t="n">
        <x:f aca="0">SUM(E9*G9)</x:f>
        <x:v>0</x:v>
      </x:c>
      <x:c r="I9" s="25" t="n">
        <x:f aca="0">SUM(F9*H9)</x:f>
        <x:v>0</x:v>
      </x:c>
      <x:c r="J9" s="25"/>
      <x:c r="K9" s="25"/>
      <x:c r="L9" s="23"/>
      <x:c r="M9" s="23"/>
    </x:row>
    <x:row r="10" ht="22.200000762939453" hidden="0">
      <x:c r="A10" s="24" t="s">
        <x:v>20</x:v>
      </x:c>
      <x:c r="B10" s="24"/>
      <x:c r="C10" s="24"/>
      <x:c r="D10" s="24"/>
      <x:c r="E10" s="24"/>
      <x:c r="F10" s="24"/>
      <x:c r="G10" s="25" t="n">
        <x:f aca="0">ROUND((IF((B10*C10)/90000&lt;1,1))+IF((B10*C10)/90000&gt;=1,(B10*C10)/90000),1.1)</x:f>
        <x:v>1</x:v>
      </x:c>
      <x:c r="H10" s="25" t="n">
        <x:f aca="0">SUM(E10*G10)</x:f>
        <x:v>0</x:v>
      </x:c>
      <x:c r="I10" s="25" t="n">
        <x:f aca="0">SUM(F10*H10)</x:f>
        <x:v>0</x:v>
      </x:c>
      <x:c r="J10" s="25"/>
      <x:c r="K10" s="25"/>
      <x:c r="L10" s="23"/>
      <x:c r="M10" s="23"/>
    </x:row>
    <x:row r="11" ht="22.200000762939453" hidden="0">
      <x:c r="A11" s="24"/>
      <x:c r="B11" s="24"/>
      <x:c r="C11" s="24"/>
      <x:c r="D11" s="24"/>
      <x:c r="E11" s="24"/>
      <x:c r="F11" s="24"/>
      <x:c r="G11" s="25" t="n">
        <x:f aca="0">ROUND((IF((B11*C11)/90000&lt;1,1))+IF((B11*C11)/90000&gt;=1,(B11*C11)/90000),1.1)</x:f>
        <x:v>1</x:v>
      </x:c>
      <x:c r="H11" s="25" t="n">
        <x:f aca="0">SUM(E11*G11)</x:f>
        <x:v>0</x:v>
      </x:c>
      <x:c r="I11" s="25" t="n">
        <x:f aca="0">SUM(F11*H11)</x:f>
        <x:v>0</x:v>
      </x:c>
      <x:c r="J11" s="25"/>
      <x:c r="K11" s="25"/>
      <x:c r="L11" s="23"/>
      <x:c r="M11" s="23"/>
    </x:row>
    <x:row r="12" ht="22.200000762939453" hidden="0">
      <x:c r="A12" s="24" t="s">
        <x:v>21</x:v>
      </x:c>
      <x:c r="B12" s="24"/>
      <x:c r="C12" s="24"/>
      <x:c r="D12" s="24"/>
      <x:c r="E12" s="24"/>
      <x:c r="F12" s="24"/>
      <x:c r="G12" s="25" t="n">
        <x:f aca="0">ROUND((IF((B12*C12)/90000&lt;1,1))+IF((B12*C12)/90000&gt;=1,(B12*C12)/90000),1.1)</x:f>
        <x:v>1</x:v>
      </x:c>
      <x:c r="H12" s="25" t="n">
        <x:f aca="0">SUM(E12*G12)</x:f>
        <x:v>0</x:v>
      </x:c>
      <x:c r="I12" s="25" t="n">
        <x:f aca="0">SUM(F12*H12)</x:f>
        <x:v>0</x:v>
      </x:c>
      <x:c r="J12" s="25"/>
      <x:c r="K12" s="25"/>
      <x:c r="L12" s="23"/>
      <x:c r="M12" s="23"/>
    </x:row>
    <x:row r="13" ht="22.200000762939453" hidden="0">
      <x:c r="A13" s="24"/>
      <x:c r="B13" s="24"/>
      <x:c r="C13" s="24"/>
      <x:c r="D13" s="24"/>
      <x:c r="E13" s="24"/>
      <x:c r="F13" s="24"/>
      <x:c r="G13" s="25" t="n">
        <x:f aca="0">ROUND((IF((B13*C13)/90000&lt;1,1))+IF((B13*C13)/90000&gt;=1,(B13*C13)/90000),1.1)</x:f>
        <x:v>1</x:v>
      </x:c>
      <x:c r="H13" s="25" t="n">
        <x:f aca="0">SUM(E13*G13)</x:f>
        <x:v>0</x:v>
      </x:c>
      <x:c r="I13" s="25" t="n">
        <x:f aca="0">SUM(F13*H13)</x:f>
        <x:v>0</x:v>
      </x:c>
      <x:c r="J13" s="25"/>
      <x:c r="K13" s="25"/>
      <x:c r="L13" s="23"/>
      <x:c r="M13" s="23"/>
    </x:row>
    <x:row r="14" ht="22.200000762939453" hidden="0">
      <x:c r="A14" s="24"/>
      <x:c r="B14" s="24"/>
      <x:c r="C14" s="24"/>
      <x:c r="D14" s="24"/>
      <x:c r="E14" s="24"/>
      <x:c r="F14" s="24"/>
      <x:c r="G14" s="25" t="n">
        <x:f aca="0">ROUND((IF((B14*C14)/90000&lt;1,1))+IF((B14*C14)/90000&gt;=1,(B14*C14)/90000),1.1)</x:f>
        <x:v>1</x:v>
      </x:c>
      <x:c r="H14" s="25" t="n">
        <x:f aca="0">SUM(E14*G14)</x:f>
        <x:v>0</x:v>
      </x:c>
      <x:c r="I14" s="25" t="n">
        <x:f aca="0">SUM(F14*H14)</x:f>
        <x:v>0</x:v>
      </x:c>
      <x:c r="J14" s="25"/>
      <x:c r="K14" s="25"/>
      <x:c r="L14" s="23"/>
      <x:c r="M14" s="23"/>
    </x:row>
    <x:row r="15" ht="22.200000762939453" hidden="0">
      <x:c r="A15" s="24" t="s">
        <x:v>22</x:v>
      </x:c>
      <x:c r="B15" s="24"/>
      <x:c r="C15" s="24"/>
      <x:c r="D15" s="24"/>
      <x:c r="E15" s="24"/>
      <x:c r="F15" s="24"/>
      <x:c r="G15" s="25" t="n">
        <x:f aca="0">ROUND((IF((B15*C15)/90000&lt;1,1))+IF((B15*C15)/90000&gt;=1,(B15*C15)/90000),1.1)</x:f>
        <x:v>1</x:v>
      </x:c>
      <x:c r="H15" s="25" t="n">
        <x:f aca="0">SUM(E15*G15)</x:f>
        <x:v>0</x:v>
      </x:c>
      <x:c r="I15" s="25" t="n">
        <x:f aca="0">SUM(F15*H15)</x:f>
        <x:v>0</x:v>
      </x:c>
      <x:c r="J15" s="25"/>
      <x:c r="K15" s="25"/>
      <x:c r="L15" s="23"/>
      <x:c r="M15" s="23"/>
    </x:row>
    <x:row r="16" ht="22.200000762939453" hidden="0">
      <x:c r="A16" s="24"/>
      <x:c r="B16" s="24"/>
      <x:c r="C16" s="24"/>
      <x:c r="D16" s="24"/>
      <x:c r="E16" s="24"/>
      <x:c r="F16" s="24"/>
      <x:c r="G16" s="25" t="n">
        <x:f aca="0">ROUND((IF((B16*C16)/90000&lt;1,1))+IF((B16*C16)/90000&gt;=1,(B16*C16)/90000),1.1)</x:f>
        <x:v>1</x:v>
      </x:c>
      <x:c r="H16" s="25" t="n">
        <x:f aca="0">SUM(E16*G16)</x:f>
        <x:v>0</x:v>
      </x:c>
      <x:c r="I16" s="25" t="n">
        <x:f aca="0">SUM(F16*H16)</x:f>
        <x:v>0</x:v>
      </x:c>
      <x:c r="J16" s="25"/>
      <x:c r="K16" s="25"/>
      <x:c r="L16" s="23"/>
      <x:c r="M16" s="23"/>
    </x:row>
    <x:row r="17" ht="22.200000762939453" hidden="0">
      <x:c r="A17" s="24"/>
      <x:c r="B17" s="24"/>
      <x:c r="C17" s="24"/>
      <x:c r="D17" s="24"/>
      <x:c r="E17" s="24"/>
      <x:c r="F17" s="24"/>
      <x:c r="G17" s="25" t="n">
        <x:f aca="0">ROUND((IF((B17*C17)/90000&lt;1,1))+IF((B17*C17)/90000&gt;=1,(B17*C17)/90000),1.1)</x:f>
        <x:v>1</x:v>
      </x:c>
      <x:c r="H17" s="25" t="n">
        <x:f aca="0">SUM(E17*G17)</x:f>
        <x:v>0</x:v>
      </x:c>
      <x:c r="I17" s="25" t="n">
        <x:f aca="0">SUM(F17*H17)</x:f>
        <x:v>0</x:v>
      </x:c>
      <x:c r="J17" s="25"/>
      <x:c r="K17" s="25"/>
      <x:c r="L17" s="23"/>
      <x:c r="M17" s="23"/>
    </x:row>
    <x:row r="18" ht="22.200000762939453" hidden="0">
      <x:c r="A18" s="24"/>
      <x:c r="B18" s="24"/>
      <x:c r="C18" s="24"/>
      <x:c r="D18" s="24"/>
      <x:c r="E18" s="24"/>
      <x:c r="F18" s="24"/>
      <x:c r="G18" s="25" t="n">
        <x:f aca="0">ROUND((IF((B18*C18)/90000&lt;1,1))+IF((B18*C18)/90000&gt;=1,(B18*C18)/90000),1.1)</x:f>
        <x:v>1</x:v>
      </x:c>
      <x:c r="H18" s="25" t="n">
        <x:f aca="0">SUM(E18*G18)</x:f>
        <x:v>0</x:v>
      </x:c>
      <x:c r="I18" s="25" t="n">
        <x:f aca="0">SUM(F18*H18)</x:f>
        <x:v>0</x:v>
      </x:c>
      <x:c r="J18" s="25"/>
      <x:c r="K18" s="25"/>
      <x:c r="L18" s="23"/>
      <x:c r="M18" s="23"/>
    </x:row>
    <x:row r="19" ht="22.200000762939453" hidden="0">
      <x:c r="A19" s="24" t="s">
        <x:v>23</x:v>
      </x:c>
      <x:c r="B19" s="24"/>
      <x:c r="C19" s="24"/>
      <x:c r="D19" s="24"/>
      <x:c r="E19" s="24"/>
      <x:c r="F19" s="24"/>
      <x:c r="G19" s="25" t="n">
        <x:f aca="0">ROUND((IF((B19*C19)/90000&lt;1,1))+IF((B19*C19)/90000&gt;=1,(B19*C19)/90000),1.1)</x:f>
        <x:v>1</x:v>
      </x:c>
      <x:c r="H19" s="25" t="n">
        <x:f aca="0">SUM(E19*G19)</x:f>
        <x:v>0</x:v>
      </x:c>
      <x:c r="I19" s="25" t="n">
        <x:f aca="0">SUM(F19*H19)</x:f>
        <x:v>0</x:v>
      </x:c>
      <x:c r="J19" s="25"/>
      <x:c r="K19" s="25"/>
      <x:c r="L19" s="23"/>
      <x:c r="M19" s="23"/>
    </x:row>
    <x:row r="20" ht="22.200000762939453" hidden="0">
      <x:c r="A20" s="24"/>
      <x:c r="B20" s="24"/>
      <x:c r="C20" s="24"/>
      <x:c r="D20" s="24"/>
      <x:c r="E20" s="24"/>
      <x:c r="F20" s="24"/>
      <x:c r="G20" s="25" t="n">
        <x:f aca="0">ROUND((IF((B20*C20)/90000&lt;1,1))+IF((B20*C20)/90000&gt;=1,(B20*C20)/90000),1.1)</x:f>
        <x:v>1</x:v>
      </x:c>
      <x:c r="H20" s="25" t="n">
        <x:f aca="0">SUM(E20*G20)</x:f>
        <x:v>0</x:v>
      </x:c>
      <x:c r="I20" s="25" t="n">
        <x:f aca="0">SUM(F20*H20)</x:f>
        <x:v>0</x:v>
      </x:c>
      <x:c r="J20" s="25"/>
      <x:c r="K20" s="25"/>
      <x:c r="L20" s="23"/>
      <x:c r="M20" s="23"/>
    </x:row>
    <x:row r="21" ht="22.200000762939453" hidden="0">
      <x:c r="A21" s="24"/>
      <x:c r="B21" s="24"/>
      <x:c r="C21" s="24"/>
      <x:c r="D21" s="24"/>
      <x:c r="E21" s="24"/>
      <x:c r="F21" s="24"/>
      <x:c r="G21" s="25" t="n">
        <x:f aca="0">ROUND((IF((B21*C21)/90000&lt;1,1))+IF((B21*C21)/90000&gt;=1,(B21*C21)/90000),1.1)</x:f>
        <x:v>1</x:v>
      </x:c>
      <x:c r="H21" s="25" t="n">
        <x:f aca="0">SUM(E21*G21)</x:f>
        <x:v>0</x:v>
      </x:c>
      <x:c r="I21" s="25" t="n">
        <x:f aca="0">SUM(F21*H21)</x:f>
        <x:v>0</x:v>
      </x:c>
      <x:c r="J21" s="25"/>
      <x:c r="K21" s="25"/>
      <x:c r="L21" s="23"/>
      <x:c r="M21" s="23"/>
    </x:row>
    <x:row r="22" ht="22.200000762939453" hidden="0">
      <x:c r="A22" s="24" t="s">
        <x:v>69</x:v>
      </x:c>
      <x:c r="B22" s="24"/>
      <x:c r="C22" s="24"/>
      <x:c r="D22" s="24"/>
      <x:c r="E22" s="24"/>
      <x:c r="F22" s="24"/>
      <x:c r="G22" s="25" t="n">
        <x:f aca="0">ROUND((IF((B22*C22)/90000&lt;1,1))+IF((B22*C22)/90000&gt;=1,(B22*C22)/90000),1.1)</x:f>
        <x:v>1</x:v>
      </x:c>
      <x:c r="H22" s="25" t="n">
        <x:f aca="0">SUM(E22*G22)</x:f>
        <x:v>0</x:v>
      </x:c>
      <x:c r="I22" s="25" t="n">
        <x:f aca="0">SUM(F22*H22)</x:f>
        <x:v>0</x:v>
      </x:c>
      <x:c r="J22" s="25"/>
      <x:c r="K22" s="25"/>
      <x:c r="L22" s="23"/>
      <x:c r="M22" s="23"/>
    </x:row>
    <x:row r="23" ht="22.200000762939453" hidden="0">
      <x:c r="A23" s="24"/>
      <x:c r="B23" s="24"/>
      <x:c r="C23" s="24"/>
      <x:c r="D23" s="24"/>
      <x:c r="E23" s="24"/>
      <x:c r="F23" s="24"/>
      <x:c r="G23" s="25" t="n">
        <x:f aca="0">ROUND((IF((B23*C23)/90000&lt;1,1))+IF((B23*C23)/90000&gt;=1,(B23*C23)/90000),1.1)</x:f>
        <x:v>1</x:v>
      </x:c>
      <x:c r="H23" s="25" t="n">
        <x:f aca="0">SUM(E23*G23)</x:f>
        <x:v>0</x:v>
      </x:c>
      <x:c r="I23" s="25" t="n">
        <x:f aca="0">SUM(F23*H23)</x:f>
        <x:v>0</x:v>
      </x:c>
      <x:c r="J23" s="25"/>
      <x:c r="K23" s="25"/>
      <x:c r="L23" s="23"/>
      <x:c r="M23" s="23"/>
    </x:row>
    <x:row r="24" ht="22.200000762939453" hidden="0">
      <x:c r="A24" s="24"/>
      <x:c r="B24" s="24"/>
      <x:c r="C24" s="24"/>
      <x:c r="D24" s="24"/>
      <x:c r="E24" s="24"/>
      <x:c r="F24" s="24"/>
      <x:c r="G24" s="25" t="n">
        <x:f aca="0">ROUND((IF((B24*C24)/90000&lt;1,1))+IF((B24*C24)/90000&gt;=1,(B24*C24)/90000),1.1)</x:f>
        <x:v>1</x:v>
      </x:c>
      <x:c r="H24" s="25" t="n">
        <x:f aca="0">SUM(E24*G24)</x:f>
        <x:v>0</x:v>
      </x:c>
      <x:c r="I24" s="25" t="n">
        <x:f aca="0">SUM(F24*H24)</x:f>
        <x:v>0</x:v>
      </x:c>
      <x:c r="J24" s="25"/>
      <x:c r="K24" s="25"/>
      <x:c r="L24" s="23"/>
      <x:c r="M24" s="23"/>
    </x:row>
    <x:row r="25" ht="22.200000762939453" hidden="0">
      <x:c r="A25" s="24"/>
      <x:c r="B25" s="24"/>
      <x:c r="C25" s="24"/>
      <x:c r="D25" s="24"/>
      <x:c r="E25" s="24"/>
      <x:c r="F25" s="24"/>
      <x:c r="G25" s="25" t="n">
        <x:f aca="0">ROUND((IF((B25*C25)/90000&lt;1,1))+IF((B25*C25)/90000&gt;=1,(B25*C25)/90000),1.1)</x:f>
        <x:v>1</x:v>
      </x:c>
      <x:c r="H25" s="25" t="n">
        <x:f aca="0">SUM(E25*G25)</x:f>
        <x:v>0</x:v>
      </x:c>
      <x:c r="I25" s="25" t="n">
        <x:f aca="0">SUM(F25*H25)</x:f>
        <x:v>0</x:v>
      </x:c>
      <x:c r="J25" s="25"/>
      <x:c r="K25" s="25"/>
      <x:c r="L25" s="23"/>
      <x:c r="M25" s="23"/>
    </x:row>
    <x:row r="26" ht="22.200000762939453" hidden="0">
      <x:c r="A26" s="26" t="s">
        <x:v>70</x:v>
      </x:c>
      <x:c r="B26" s="24"/>
      <x:c r="C26" s="24"/>
      <x:c r="D26" s="24"/>
      <x:c r="E26" s="24"/>
      <x:c r="F26" s="24"/>
      <x:c r="G26" s="25" t="n">
        <x:f aca="0">ROUND((IF((B26*C26)/90000&lt;1,1))+IF((B26*C26)/90000&gt;=1,(B26*C26)/90000),1.1)</x:f>
        <x:v>1</x:v>
      </x:c>
      <x:c r="H26" s="25" t="n">
        <x:f aca="0">SUM(E26*G26)</x:f>
        <x:v>0</x:v>
      </x:c>
      <x:c r="I26" s="25" t="n">
        <x:f aca="0">SUM(F26*H26)</x:f>
        <x:v>0</x:v>
      </x:c>
      <x:c r="J26" s="25"/>
      <x:c r="K26" s="25"/>
      <x:c r="L26" s="23"/>
      <x:c r="M26" s="23"/>
    </x:row>
    <x:row r="27" ht="22.200000762939453" hidden="0">
      <x:c r="A27" s="24"/>
      <x:c r="B27" s="24"/>
      <x:c r="C27" s="24"/>
      <x:c r="D27" s="24"/>
      <x:c r="E27" s="24"/>
      <x:c r="F27" s="24"/>
      <x:c r="G27" s="25" t="n">
        <x:f aca="0">ROUND((IF((B27*C27)/90000&lt;1,1))+IF((B27*C27)/90000&gt;=1,(B27*C27)/90000),1.1)</x:f>
        <x:v>1</x:v>
      </x:c>
      <x:c r="H27" s="25" t="n">
        <x:f aca="0">SUM(E27*G27)</x:f>
        <x:v>0</x:v>
      </x:c>
      <x:c r="I27" s="25" t="n">
        <x:f aca="0">SUM(F27*H27)</x:f>
        <x:v>0</x:v>
      </x:c>
      <x:c r="J27" s="25"/>
      <x:c r="K27" s="25"/>
      <x:c r="L27" s="23"/>
      <x:c r="M27" s="23"/>
    </x:row>
    <x:row r="28" ht="22.200000762939453" hidden="0">
      <x:c r="A28" s="24"/>
      <x:c r="B28" s="24"/>
      <x:c r="C28" s="24"/>
      <x:c r="D28" s="24"/>
      <x:c r="E28" s="24"/>
      <x:c r="F28" s="24"/>
      <x:c r="G28" s="25" t="n">
        <x:f aca="0">ROUND((IF((B28*C28)/90000&lt;1,1))+IF((B28*C28)/90000&gt;=1,(B28*C28)/90000),1.1)</x:f>
        <x:v>1</x:v>
      </x:c>
      <x:c r="H28" s="25" t="n">
        <x:f aca="0">SUM(E28*G28)</x:f>
        <x:v>0</x:v>
      </x:c>
      <x:c r="I28" s="25" t="n">
        <x:f aca="0">SUM(F28*H28)</x:f>
        <x:v>0</x:v>
      </x:c>
      <x:c r="J28" s="25"/>
      <x:c r="K28" s="25"/>
      <x:c r="L28" s="23"/>
      <x:c r="M28" s="23"/>
    </x:row>
    <x:row r="29" ht="22.200000762939453" hidden="0">
      <x:c r="A29" s="24" t="s">
        <x:v>30</x:v>
      </x:c>
      <x:c r="B29" s="24"/>
      <x:c r="C29" s="24"/>
      <x:c r="D29" s="24"/>
      <x:c r="E29" s="24"/>
      <x:c r="F29" s="24"/>
      <x:c r="G29" s="25" t="n">
        <x:f aca="0">ROUND((IF((B29*C29)/90000&lt;1,1))+IF((B29*C29)/90000&gt;=1,(B29*C29)/90000),1.1)</x:f>
        <x:v>1</x:v>
      </x:c>
      <x:c r="H29" s="25" t="n">
        <x:f aca="0">SUM(E29*G29)</x:f>
        <x:v>0</x:v>
      </x:c>
      <x:c r="I29" s="25" t="n">
        <x:f aca="0">SUM(F29*H29)</x:f>
        <x:v>0</x:v>
      </x:c>
      <x:c r="J29" s="25"/>
      <x:c r="K29" s="25"/>
      <x:c r="L29" s="23"/>
      <x:c r="M29" s="23"/>
    </x:row>
    <x:row r="30" ht="22.200000762939453" hidden="0">
      <x:c r="A30" s="24" t="s">
        <x:v>31</x:v>
      </x:c>
      <x:c r="B30" s="24"/>
      <x:c r="C30" s="24"/>
      <x:c r="D30" s="24"/>
      <x:c r="E30" s="24"/>
      <x:c r="F30" s="24"/>
      <x:c r="G30" s="25" t="n">
        <x:f aca="0">ROUND((IF((B30*C30)/90000&lt;1,1))+IF((B30*C30)/90000&gt;=1,(B30*C30)/90000),1.1)</x:f>
        <x:v>1</x:v>
      </x:c>
      <x:c r="H30" s="25" t="n">
        <x:f aca="0">SUM(E30*G30)</x:f>
        <x:v>0</x:v>
      </x:c>
      <x:c r="I30" s="25" t="n">
        <x:f aca="0">SUM(F30*H30)</x:f>
        <x:v>0</x:v>
      </x:c>
      <x:c r="J30" s="25"/>
      <x:c r="K30" s="25"/>
      <x:c r="L30" s="23"/>
      <x:c r="M30" s="23"/>
    </x:row>
    <x:row r="31" ht="22.200000762939453" hidden="0">
      <x:c r="A31" s="24" t="s">
        <x:v>32</x:v>
      </x:c>
      <x:c r="B31" s="24"/>
      <x:c r="C31" s="24"/>
      <x:c r="D31" s="24"/>
      <x:c r="E31" s="24"/>
      <x:c r="F31" s="24"/>
      <x:c r="G31" s="25" t="n">
        <x:f aca="0">ROUND((IF((B31*C31)/90000&lt;1,1))+IF((B31*C31)/90000&gt;=1,(B31*C31)/90000),1.1)</x:f>
        <x:v>1</x:v>
      </x:c>
      <x:c r="H31" s="25" t="n">
        <x:f aca="0">SUM(E31*G31)</x:f>
        <x:v>0</x:v>
      </x:c>
      <x:c r="I31" s="25" t="n">
        <x:f aca="0">SUM(F31*H31)</x:f>
        <x:v>0</x:v>
      </x:c>
      <x:c r="J31" s="25"/>
      <x:c r="K31" s="25"/>
      <x:c r="L31" s="23"/>
      <x:c r="M31" s="23"/>
    </x:row>
    <x:row r="32" ht="22.200000762939453" hidden="0">
      <x:c r="A32" s="24" t="s">
        <x:v>33</x:v>
      </x:c>
      <x:c r="B32" s="24"/>
      <x:c r="C32" s="24"/>
      <x:c r="D32" s="24"/>
      <x:c r="E32" s="24"/>
      <x:c r="F32" s="24"/>
      <x:c r="G32" s="25" t="n">
        <x:f aca="0">ROUND((IF((B32*C32)/90000&lt;1,1))+IF((B32*C32)/90000&gt;=1,(B32*C32)/90000),1.1)</x:f>
        <x:v>1</x:v>
      </x:c>
      <x:c r="H32" s="25" t="n">
        <x:f aca="0">SUM(E32*G32)</x:f>
        <x:v>0</x:v>
      </x:c>
      <x:c r="I32" s="25" t="n">
        <x:f aca="0">SUM(F32*H32)</x:f>
        <x:v>0</x:v>
      </x:c>
      <x:c r="J32" s="25"/>
      <x:c r="K32" s="25"/>
      <x:c r="L32" s="23"/>
      <x:c r="M32" s="23"/>
    </x:row>
    <x:row r="33" ht="22.200000762939453" hidden="0">
      <x:c r="A33" s="24"/>
      <x:c r="B33" s="24"/>
      <x:c r="C33" s="24"/>
      <x:c r="D33" s="24"/>
      <x:c r="E33" s="24"/>
      <x:c r="F33" s="24"/>
      <x:c r="G33" s="25" t="n">
        <x:f aca="0">ROUND((IF((B33*C33)/90000&lt;1,1))+IF((B33*C33)/90000&gt;=1,(B33*C33)/90000),1.1)</x:f>
        <x:v>1</x:v>
      </x:c>
      <x:c r="H33" s="25" t="n">
        <x:f aca="0">SUM(E33*G33)</x:f>
        <x:v>0</x:v>
      </x:c>
      <x:c r="I33" s="25" t="n">
        <x:f aca="0">SUM(F33*H33)</x:f>
        <x:v>0</x:v>
      </x:c>
      <x:c r="J33" s="25"/>
      <x:c r="K33" s="25"/>
      <x:c r="L33" s="23"/>
      <x:c r="M33" s="23"/>
    </x:row>
    <x:row r="34" ht="22.200000762939453" hidden="0">
      <x:c r="A34" s="24" t="s">
        <x:v>34</x:v>
      </x:c>
      <x:c r="B34" s="24"/>
      <x:c r="C34" s="24"/>
      <x:c r="D34" s="24"/>
      <x:c r="E34" s="24"/>
      <x:c r="F34" s="24"/>
      <x:c r="G34" s="25" t="n">
        <x:f aca="0">ROUND((IF((B34*C34)/90000&lt;1,1))+IF((B34*C34)/90000&gt;=1,(B34*C34)/90000),1.1)</x:f>
        <x:v>1</x:v>
      </x:c>
      <x:c r="H34" s="25" t="n">
        <x:f aca="0">SUM(E34*G34)</x:f>
        <x:v>0</x:v>
      </x:c>
      <x:c r="I34" s="25" t="n">
        <x:f aca="0">SUM(F34*H34)</x:f>
        <x:v>0</x:v>
      </x:c>
      <x:c r="J34" s="25"/>
      <x:c r="K34" s="25"/>
      <x:c r="L34" s="23"/>
      <x:c r="M34" s="23"/>
    </x:row>
    <x:row r="35" ht="22.200000762939453" hidden="0">
      <x:c r="A35" s="24"/>
      <x:c r="B35" s="24"/>
      <x:c r="C35" s="24"/>
      <x:c r="D35" s="24"/>
      <x:c r="E35" s="24"/>
      <x:c r="F35" s="24"/>
      <x:c r="G35" s="25" t="n">
        <x:f aca="0">ROUND((IF((B35*C35)/90000&lt;1,1))+IF((B35*C35)/90000&gt;=1,(B35*C35)/90000),1.1)</x:f>
        <x:v>1</x:v>
      </x:c>
      <x:c r="H35" s="25" t="n">
        <x:f aca="0">SUM(E35*G35)</x:f>
        <x:v>0</x:v>
      </x:c>
      <x:c r="I35" s="25" t="n">
        <x:f aca="0">SUM(F35*H35)</x:f>
        <x:v>0</x:v>
      </x:c>
      <x:c r="J35" s="25"/>
      <x:c r="K35" s="25"/>
      <x:c r="L35" s="23"/>
      <x:c r="M35" s="23"/>
    </x:row>
    <x:row r="36" ht="22.200000762939453" hidden="0">
      <x:c r="A36" s="24" t="s">
        <x:v>35</x:v>
      </x:c>
      <x:c r="B36" s="24"/>
      <x:c r="C36" s="24"/>
      <x:c r="D36" s="24"/>
      <x:c r="E36" s="24"/>
      <x:c r="F36" s="24"/>
      <x:c r="G36" s="25"/>
      <x:c r="H36" s="25"/>
      <x:c r="I36" s="25"/>
      <x:c r="J36" s="25"/>
      <x:c r="K36" s="25"/>
      <x:c r="L36" s="23"/>
      <x:c r="M36" s="23"/>
    </x:row>
    <x:row r="37" ht="22.200000762939453" hidden="0">
      <x:c r="A37" s="24"/>
      <x:c r="B37" s="24"/>
      <x:c r="C37" s="24"/>
      <x:c r="D37" s="24"/>
      <x:c r="E37" s="24"/>
      <x:c r="F37" s="24"/>
      <x:c r="G37" s="25"/>
      <x:c r="H37" s="25"/>
      <x:c r="I37" s="25"/>
      <x:c r="J37" s="25"/>
      <x:c r="K37" s="25"/>
      <x:c r="L37" s="23"/>
      <x:c r="M37" s="23"/>
    </x:row>
    <x:row r="38" ht="22.200000762939453" hidden="0">
      <x:c r="A38" s="24" t="s">
        <x:v>37</x:v>
      </x:c>
      <x:c r="B38" s="24"/>
      <x:c r="C38" s="24"/>
      <x:c r="D38" s="24"/>
      <x:c r="E38" s="24"/>
      <x:c r="F38" s="24"/>
      <x:c r="G38" s="25" t="n">
        <x:f aca="0">ROUND((IF((B38*C38)/90000&lt;1,1))+IF((B38*C38)/90000&gt;=1,(B38*C38)/90000),1.1)</x:f>
        <x:v>1</x:v>
      </x:c>
      <x:c r="H38" s="25" t="n">
        <x:f aca="0">SUM(E38*G38)</x:f>
        <x:v>0</x:v>
      </x:c>
      <x:c r="I38" s="25" t="n">
        <x:f aca="0">SUM(F38*H38)</x:f>
        <x:v>0</x:v>
      </x:c>
      <x:c r="J38" s="25"/>
      <x:c r="K38" s="25"/>
      <x:c r="L38" s="23"/>
      <x:c r="M38" s="23"/>
    </x:row>
    <x:row r="39" ht="22.200000762939453" hidden="0">
      <x:c r="A39" s="24"/>
      <x:c r="B39" s="24"/>
      <x:c r="C39" s="24"/>
      <x:c r="D39" s="24"/>
      <x:c r="E39" s="24"/>
      <x:c r="F39" s="24"/>
      <x:c r="G39" s="25" t="n">
        <x:f aca="0">ROUND((IF((B39*C39)/90000&lt;1,1))+IF((B39*C39)/90000&gt;=1,(B39*C39)/90000),1.1)</x:f>
        <x:v>1</x:v>
      </x:c>
      <x:c r="H39" s="25" t="n">
        <x:f aca="0">SUM(E39*G39)</x:f>
        <x:v>0</x:v>
      </x:c>
      <x:c r="I39" s="25" t="n">
        <x:f aca="0">SUM(F39*H39)</x:f>
        <x:v>0</x:v>
      </x:c>
      <x:c r="J39" s="25"/>
      <x:c r="K39" s="25"/>
      <x:c r="L39" s="23"/>
      <x:c r="M39" s="23"/>
    </x:row>
    <x:row r="40" ht="22.200000762939453" hidden="0">
      <x:c r="A40" s="24"/>
      <x:c r="B40" s="24"/>
      <x:c r="C40" s="24"/>
      <x:c r="D40" s="24"/>
      <x:c r="E40" s="24"/>
      <x:c r="F40" s="24"/>
      <x:c r="G40" s="25" t="n">
        <x:f aca="0">ROUND((IF((B40*C40)/90000&lt;1,1))+IF((B40*C40)/90000&gt;=1,(B40*C40)/90000),1.1)</x:f>
        <x:v>1</x:v>
      </x:c>
      <x:c r="H40" s="25" t="n">
        <x:f aca="0">SUM(E40*G40)</x:f>
        <x:v>0</x:v>
      </x:c>
      <x:c r="I40" s="25" t="n">
        <x:f aca="0">SUM(F40*H40)</x:f>
        <x:v>0</x:v>
      </x:c>
      <x:c r="J40" s="25"/>
      <x:c r="K40" s="25"/>
      <x:c r="L40" s="23"/>
      <x:c r="M40" s="23"/>
    </x:row>
    <x:row r="41" ht="22.200000762939453" hidden="0">
      <x:c r="A41" s="24"/>
      <x:c r="B41" s="24"/>
      <x:c r="C41" s="24"/>
      <x:c r="D41" s="24"/>
      <x:c r="E41" s="24"/>
      <x:c r="F41" s="24"/>
      <x:c r="G41" s="25" t="n">
        <x:f aca="0">ROUND((IF((B41*C41)/90000&lt;1,1))+IF((B41*C41)/90000&gt;=1,(B41*C41)/90000),1.1)</x:f>
        <x:v>1</x:v>
      </x:c>
      <x:c r="H41" s="25" t="n">
        <x:f aca="0">SUM(E41*G41)</x:f>
        <x:v>0</x:v>
      </x:c>
      <x:c r="I41" s="25" t="n">
        <x:f aca="0">SUM(F41*H41)</x:f>
        <x:v>0</x:v>
      </x:c>
      <x:c r="J41" s="25"/>
      <x:c r="K41" s="25"/>
      <x:c r="L41" s="23"/>
      <x:c r="M41" s="23"/>
    </x:row>
    <x:row r="42" ht="22.200000762939453" hidden="0">
      <x:c r="A42" s="24"/>
      <x:c r="B42" s="24"/>
      <x:c r="C42" s="24"/>
      <x:c r="D42" s="24"/>
      <x:c r="E42" s="24"/>
      <x:c r="F42" s="24"/>
      <x:c r="G42" s="25" t="n">
        <x:f aca="0">ROUND((IF((B42*C42)/90000&lt;1,1))+IF((B42*C42)/90000&gt;=1,(B42*C42)/90000),1.1)</x:f>
        <x:v>1</x:v>
      </x:c>
      <x:c r="H42" s="25" t="n">
        <x:f aca="0">SUM(E42*G42)</x:f>
        <x:v>0</x:v>
      </x:c>
      <x:c r="I42" s="25" t="n">
        <x:f aca="0">SUM(F42*H42)</x:f>
        <x:v>0</x:v>
      </x:c>
      <x:c r="J42" s="25"/>
      <x:c r="K42" s="25"/>
      <x:c r="L42" s="23"/>
      <x:c r="M42" s="23"/>
    </x:row>
    <x:row r="43" ht="22.200000762939453" hidden="0">
      <x:c r="A43" s="24" t="s">
        <x:v>38</x:v>
      </x:c>
      <x:c r="B43" s="24"/>
      <x:c r="C43" s="24"/>
      <x:c r="D43" s="24"/>
      <x:c r="E43" s="24"/>
      <x:c r="F43" s="24"/>
      <x:c r="G43" s="25" t="n">
        <x:f aca="0">ROUND((IF((B43*C43)/90000&lt;1,1))+IF((B43*C43)/90000&gt;=1,(B43*C43)/90000),1.1)</x:f>
        <x:v>1</x:v>
      </x:c>
      <x:c r="H43" s="25" t="n">
        <x:f aca="0">SUM(E43*G43)</x:f>
        <x:v>0</x:v>
      </x:c>
      <x:c r="I43" s="25" t="n">
        <x:f aca="0">SUM(F43*H43)</x:f>
        <x:v>0</x:v>
      </x:c>
      <x:c r="J43" s="25"/>
      <x:c r="K43" s="25"/>
      <x:c r="L43" s="23"/>
      <x:c r="M43" s="23"/>
    </x:row>
    <x:row r="44" ht="22.200000762939453" hidden="0">
      <x:c r="A44" s="24" t="s">
        <x:v>39</x:v>
      </x:c>
      <x:c r="B44" s="24"/>
      <x:c r="C44" s="24"/>
      <x:c r="D44" s="24"/>
      <x:c r="E44" s="24"/>
      <x:c r="F44" s="24"/>
      <x:c r="G44" s="25" t="n">
        <x:f aca="0">ROUND((IF((B44*C44)/90000&lt;1,1))+IF((B44*C44)/90000&gt;=1,(B44*C44)/90000),1.1)</x:f>
        <x:v>1</x:v>
      </x:c>
      <x:c r="H44" s="25" t="n">
        <x:f aca="0">SUM(E44*G44)</x:f>
        <x:v>0</x:v>
      </x:c>
      <x:c r="I44" s="25" t="n">
        <x:f aca="0">SUM(F44*H44)</x:f>
        <x:v>0</x:v>
      </x:c>
      <x:c r="J44" s="25"/>
      <x:c r="K44" s="25"/>
      <x:c r="L44" s="23"/>
      <x:c r="M44" s="23"/>
    </x:row>
    <x:row r="45" ht="22.200000762939453" hidden="0">
      <x:c r="A45" s="24" t="s">
        <x:v>40</x:v>
      </x:c>
      <x:c r="B45" s="24"/>
      <x:c r="C45" s="24"/>
      <x:c r="D45" s="24"/>
      <x:c r="E45" s="24"/>
      <x:c r="F45" s="24"/>
      <x:c r="G45" s="25" t="n">
        <x:f aca="0">ROUND((IF((B45*C45)/90000&lt;1,1))+IF((B45*C45)/90000&gt;=1,(B45*C45)/90000),1.1)</x:f>
        <x:v>1</x:v>
      </x:c>
      <x:c r="H45" s="25" t="n">
        <x:f aca="0">SUM(E45*G45)</x:f>
        <x:v>0</x:v>
      </x:c>
      <x:c r="I45" s="25" t="n">
        <x:f aca="0">SUM(F45*H45)</x:f>
        <x:v>0</x:v>
      </x:c>
      <x:c r="J45" s="25"/>
      <x:c r="K45" s="25"/>
      <x:c r="L45" s="23"/>
      <x:c r="M45" s="23"/>
    </x:row>
    <x:row r="46" ht="22.200000762939453" hidden="0">
      <x:c r="A46" s="24"/>
      <x:c r="B46" s="24"/>
      <x:c r="C46" s="24"/>
      <x:c r="D46" s="24"/>
      <x:c r="E46" s="24"/>
      <x:c r="F46" s="24"/>
      <x:c r="G46" s="25" t="n">
        <x:f aca="0">ROUND((IF((B46*C46)/90000&lt;1,1))+IF((B46*C46)/90000&gt;=1,(B46*C46)/90000),1.1)</x:f>
        <x:v>1</x:v>
      </x:c>
      <x:c r="H46" s="25" t="n">
        <x:f aca="0">SUM(E46*G46)</x:f>
        <x:v>0</x:v>
      </x:c>
      <x:c r="I46" s="25" t="n">
        <x:f aca="0">SUM(F46*H46)</x:f>
        <x:v>0</x:v>
      </x:c>
      <x:c r="J46" s="25"/>
      <x:c r="K46" s="25"/>
      <x:c r="L46" s="23"/>
      <x:c r="M46" s="23"/>
    </x:row>
    <x:row r="47" ht="22.200000762939453" hidden="0">
      <x:c r="A47" s="24"/>
      <x:c r="B47" s="24"/>
      <x:c r="C47" s="24"/>
      <x:c r="D47" s="24"/>
      <x:c r="E47" s="24"/>
      <x:c r="F47" s="24"/>
      <x:c r="G47" s="25" t="n">
        <x:f aca="0">ROUND((IF((B47*C47)/90000&lt;1,1))+IF((B47*C47)/90000&gt;=1,(B47*C47)/90000),1.1)</x:f>
        <x:v>1</x:v>
      </x:c>
      <x:c r="H47" s="25" t="n">
        <x:f aca="0">SUM(E47*G47)</x:f>
        <x:v>0</x:v>
      </x:c>
      <x:c r="I47" s="25" t="n">
        <x:f aca="0">SUM(F47*H47)</x:f>
        <x:v>0</x:v>
      </x:c>
      <x:c r="J47" s="25"/>
      <x:c r="K47" s="25"/>
      <x:c r="L47" s="23"/>
      <x:c r="M47" s="23"/>
    </x:row>
    <x:row r="48" ht="22.200000762939453" hidden="0">
      <x:c r="A48" s="24"/>
      <x:c r="B48" s="24"/>
      <x:c r="C48" s="24"/>
      <x:c r="D48" s="24"/>
      <x:c r="E48" s="24"/>
      <x:c r="F48" s="24"/>
      <x:c r="G48" s="25" t="n">
        <x:f aca="0">ROUND((IF((B48*C48)/90000&lt;1,1))+IF((B48*C48)/90000&gt;=1,(B48*C48)/90000),1.1)</x:f>
        <x:v>1</x:v>
      </x:c>
      <x:c r="H48" s="25" t="n">
        <x:f aca="0">SUM(E48*G48)</x:f>
        <x:v>0</x:v>
      </x:c>
      <x:c r="I48" s="25" t="n">
        <x:f aca="0">SUM(F48*H48)</x:f>
        <x:v>0</x:v>
      </x:c>
      <x:c r="J48" s="25"/>
      <x:c r="K48" s="25"/>
      <x:c r="L48" s="23"/>
      <x:c r="M48" s="23"/>
    </x:row>
    <x:row r="49" ht="22.200000762939453" hidden="0">
      <x:c r="A49" s="26" t="s">
        <x:v>41</x:v>
      </x:c>
      <x:c r="B49" s="24"/>
      <x:c r="C49" s="24"/>
      <x:c r="D49" s="24"/>
      <x:c r="E49" s="24"/>
      <x:c r="F49" s="24"/>
      <x:c r="G49" s="25"/>
      <x:c r="H49" s="25"/>
      <x:c r="I49" s="25" t="n">
        <x:f aca="0">SUM(E49*F49)</x:f>
        <x:v>0</x:v>
      </x:c>
      <x:c r="J49" s="25"/>
      <x:c r="K49" s="25"/>
      <x:c r="L49" s="23"/>
      <x:c r="M49" s="23"/>
    </x:row>
    <x:row r="50" ht="22.200000762939453" hidden="0">
      <x:c r="A50" s="26" t="s">
        <x:v>42</x:v>
      </x:c>
      <x:c r="B50" s="24"/>
      <x:c r="C50" s="24"/>
      <x:c r="D50" s="24"/>
      <x:c r="E50" s="24"/>
      <x:c r="F50" s="24"/>
      <x:c r="G50" s="25"/>
      <x:c r="H50" s="25"/>
      <x:c r="I50" s="25" t="n">
        <x:f aca="0">SUM(E50*F50)</x:f>
        <x:v>0</x:v>
      </x:c>
      <x:c r="J50" s="25"/>
      <x:c r="K50" s="25"/>
      <x:c r="L50" s="23"/>
      <x:c r="M50" s="23"/>
    </x:row>
    <x:row r="51" ht="22.200000762939453" hidden="0">
      <x:c r="A51" s="24" t="s">
        <x:v>44</x:v>
      </x:c>
      <x:c r="B51" s="24"/>
      <x:c r="C51" s="24"/>
      <x:c r="D51" s="24"/>
      <x:c r="E51" s="24"/>
      <x:c r="F51" s="24"/>
      <x:c r="G51" s="25"/>
      <x:c r="H51" s="25"/>
      <x:c r="I51" s="25" t="n">
        <x:f aca="0">SUM(E51*F51)</x:f>
        <x:v>0</x:v>
      </x:c>
      <x:c r="J51" s="25"/>
      <x:c r="K51" s="25"/>
      <x:c r="L51" s="23"/>
      <x:c r="M51" s="23"/>
    </x:row>
    <x:row r="52" ht="22.200000762939453" hidden="0">
      <x:c r="A52" s="24" t="s">
        <x:v>45</x:v>
      </x:c>
      <x:c r="B52" s="24"/>
      <x:c r="C52" s="24"/>
      <x:c r="D52" s="24"/>
      <x:c r="E52" s="24"/>
      <x:c r="F52" s="24"/>
      <x:c r="G52" s="25"/>
      <x:c r="H52" s="25"/>
      <x:c r="I52" s="25" t="n">
        <x:f aca="0">SUM(E52*F52)</x:f>
        <x:v>0</x:v>
      </x:c>
      <x:c r="J52" s="25"/>
      <x:c r="K52" s="25"/>
      <x:c r="L52" s="23"/>
      <x:c r="M52" s="23"/>
    </x:row>
    <x:row r="53" ht="22.200000762939453" hidden="0">
      <x:c r="A53" s="26" t="s">
        <x:v>71</x:v>
      </x:c>
      <x:c r="B53" s="24"/>
      <x:c r="C53" s="24"/>
      <x:c r="D53" s="24"/>
      <x:c r="E53" s="24"/>
      <x:c r="F53" s="24"/>
      <x:c r="G53" s="25"/>
      <x:c r="H53" s="25"/>
      <x:c r="I53" s="25" t="n">
        <x:f aca="0">SUM(E53*F53)</x:f>
        <x:v>0</x:v>
      </x:c>
      <x:c r="J53" s="25"/>
      <x:c r="K53" s="25"/>
      <x:c r="L53" s="23"/>
      <x:c r="M53" s="23"/>
    </x:row>
    <x:row r="54" ht="22.200000762939453" hidden="0">
      <x:c r="A54" s="24" t="s">
        <x:v>47</x:v>
      </x:c>
      <x:c r="B54" s="24"/>
      <x:c r="C54" s="24"/>
      <x:c r="D54" s="24"/>
      <x:c r="E54" s="24"/>
      <x:c r="F54" s="24"/>
      <x:c r="G54" s="25"/>
      <x:c r="H54" s="25"/>
      <x:c r="I54" s="25" t="n">
        <x:f aca="0">SUM(E54*F54)</x:f>
        <x:v>0</x:v>
      </x:c>
      <x:c r="J54" s="25"/>
      <x:c r="K54" s="25"/>
      <x:c r="L54" s="23"/>
      <x:c r="M54" s="23"/>
    </x:row>
    <x:row r="55" ht="22.200000762939453" hidden="0">
      <x:c r="A55" s="24" t="s">
        <x:v>48</x:v>
      </x:c>
      <x:c r="B55" s="24"/>
      <x:c r="C55" s="24"/>
      <x:c r="D55" s="24"/>
      <x:c r="E55" s="24"/>
      <x:c r="F55" s="24"/>
      <x:c r="G55" s="25"/>
      <x:c r="H55" s="25"/>
      <x:c r="I55" s="25" t="n">
        <x:f aca="0">SUM(E55*F55)</x:f>
        <x:v>0</x:v>
      </x:c>
      <x:c r="J55" s="25"/>
      <x:c r="K55" s="25"/>
      <x:c r="L55" s="23"/>
      <x:c r="M55" s="23"/>
    </x:row>
    <x:row r="56" ht="22.200000762939453" hidden="0">
      <x:c r="A56" s="26" t="s">
        <x:v>49</x:v>
      </x:c>
      <x:c r="B56" s="24"/>
      <x:c r="C56" s="24"/>
      <x:c r="D56" s="24"/>
      <x:c r="E56" s="24"/>
      <x:c r="F56" s="24"/>
      <x:c r="G56" s="25"/>
      <x:c r="H56" s="25"/>
      <x:c r="I56" s="25" t="n">
        <x:f aca="0">SUM(E56*F56)</x:f>
        <x:v>0</x:v>
      </x:c>
      <x:c r="J56" s="25"/>
      <x:c r="K56" s="25"/>
      <x:c r="L56" s="23"/>
      <x:c r="M56" s="23"/>
    </x:row>
    <x:row r="57" ht="22.200000762939453" hidden="0">
      <x:c r="A57" s="26" t="s">
        <x:v>50</x:v>
      </x:c>
      <x:c r="B57" s="24"/>
      <x:c r="C57" s="24"/>
      <x:c r="D57" s="24"/>
      <x:c r="E57" s="24"/>
      <x:c r="F57" s="24"/>
      <x:c r="G57" s="25"/>
      <x:c r="H57" s="25"/>
      <x:c r="I57" s="25" t="n">
        <x:f aca="0">SUM(E57*F57)</x:f>
        <x:v>0</x:v>
      </x:c>
      <x:c r="J57" s="25"/>
      <x:c r="K57" s="25"/>
      <x:c r="L57" s="23"/>
      <x:c r="M57" s="23"/>
    </x:row>
    <x:row r="58" ht="22.200000762939453" hidden="0">
      <x:c r="A58" s="26" t="s">
        <x:v>51</x:v>
      </x:c>
      <x:c r="B58" s="24"/>
      <x:c r="C58" s="24"/>
      <x:c r="D58" s="24"/>
      <x:c r="E58" s="24"/>
      <x:c r="F58" s="24"/>
      <x:c r="G58" s="25"/>
      <x:c r="H58" s="25"/>
      <x:c r="I58" s="25" t="n">
        <x:f aca="0">SUM(E58*F58)</x:f>
        <x:v>0</x:v>
      </x:c>
      <x:c r="J58" s="25"/>
      <x:c r="K58" s="25"/>
      <x:c r="L58" s="23"/>
      <x:c r="M58" s="23"/>
    </x:row>
    <x:row r="59" ht="22.200000762939453" hidden="0">
      <x:c r="A59" s="26" t="s">
        <x:v>52</x:v>
      </x:c>
      <x:c r="B59" s="24"/>
      <x:c r="C59" s="24"/>
      <x:c r="D59" s="24"/>
      <x:c r="E59" s="24"/>
      <x:c r="F59" s="24"/>
      <x:c r="G59" s="25"/>
      <x:c r="H59" s="25"/>
      <x:c r="I59" s="25" t="n">
        <x:f aca="0">SUM(E59*F59)</x:f>
        <x:v>0</x:v>
      </x:c>
      <x:c r="J59" s="25"/>
      <x:c r="K59" s="25"/>
      <x:c r="L59" s="23"/>
      <x:c r="M59" s="23"/>
    </x:row>
    <x:row r="60" ht="22.200000762939453" hidden="0">
      <x:c r="A60" s="26" t="s">
        <x:v>72</x:v>
      </x:c>
      <x:c r="B60" s="24"/>
      <x:c r="C60" s="24"/>
      <x:c r="D60" s="24"/>
      <x:c r="E60" s="24"/>
      <x:c r="F60" s="24"/>
      <x:c r="G60" s="25"/>
      <x:c r="H60" s="25"/>
      <x:c r="I60" s="25" t="n">
        <x:f aca="0">SUM(E60*F60)</x:f>
        <x:v>0</x:v>
      </x:c>
      <x:c r="J60" s="25"/>
      <x:c r="K60" s="25"/>
      <x:c r="L60" s="23"/>
      <x:c r="M60" s="23"/>
    </x:row>
    <x:row r="61" ht="22.200000762939453" hidden="0">
      <x:c r="A61" s="24" t="s">
        <x:v>73</x:v>
      </x:c>
      <x:c r="B61" s="24"/>
      <x:c r="C61" s="24"/>
      <x:c r="D61" s="24"/>
      <x:c r="E61" s="24"/>
      <x:c r="F61" s="24"/>
      <x:c r="G61" s="25"/>
      <x:c r="H61" s="25"/>
      <x:c r="I61" s="25" t="n">
        <x:f aca="0">SUM(E61*F61)</x:f>
        <x:v>0</x:v>
      </x:c>
      <x:c r="J61" s="25"/>
      <x:c r="K61" s="25"/>
      <x:c r="L61" s="23"/>
      <x:c r="M61" s="23"/>
    </x:row>
    <x:row r="62" ht="22.200000762939453" hidden="0">
      <x:c r="A62" s="26" t="s">
        <x:v>74</x:v>
      </x:c>
      <x:c r="B62" s="24"/>
      <x:c r="C62" s="24"/>
      <x:c r="D62" s="24"/>
      <x:c r="E62" s="24"/>
      <x:c r="F62" s="24"/>
      <x:c r="G62" s="25"/>
      <x:c r="H62" s="25"/>
      <x:c r="I62" s="25" t="n">
        <x:f aca="0">SUM(E62*F62)</x:f>
        <x:v>0</x:v>
      </x:c>
      <x:c r="J62" s="25"/>
      <x:c r="K62" s="25"/>
      <x:c r="L62" s="23"/>
      <x:c r="M62" s="23"/>
    </x:row>
    <x:row r="63" ht="22.200000762939453" hidden="0">
      <x:c r="A63" s="24" t="s">
        <x:v>57</x:v>
      </x:c>
      <x:c r="B63" s="24"/>
      <x:c r="C63" s="24"/>
      <x:c r="D63" s="24"/>
      <x:c r="E63" s="24"/>
      <x:c r="F63" s="24"/>
      <x:c r="G63" s="25"/>
      <x:c r="H63" s="25"/>
      <x:c r="I63" s="25" t="n">
        <x:f aca="0">SUM(E63*F63)</x:f>
        <x:v>0</x:v>
      </x:c>
      <x:c r="J63" s="25"/>
      <x:c r="K63" s="25"/>
      <x:c r="L63" s="23"/>
      <x:c r="M63" s="23"/>
    </x:row>
    <x:row r="64" ht="22.200000762939453" hidden="0">
      <x:c r="A64" s="24" t="s">
        <x:v>58</x:v>
      </x:c>
      <x:c r="B64" s="24"/>
      <x:c r="C64" s="24"/>
      <x:c r="D64" s="24"/>
      <x:c r="E64" s="24"/>
      <x:c r="F64" s="24"/>
      <x:c r="G64" s="25"/>
      <x:c r="H64" s="25"/>
      <x:c r="I64" s="25"/>
      <x:c r="J64" s="25"/>
      <x:c r="K64" s="25"/>
      <x:c r="L64" s="23"/>
      <x:c r="M64" s="23"/>
    </x:row>
    <x:row r="65" ht="22.200000762939453" hidden="0">
      <x:c r="A65" s="24" t="s">
        <x:v>59</x:v>
      </x:c>
      <x:c r="B65" s="24"/>
      <x:c r="C65" s="24"/>
      <x:c r="D65" s="24"/>
      <x:c r="E65" s="24"/>
      <x:c r="F65" s="24"/>
      <x:c r="G65" s="25"/>
      <x:c r="H65" s="25"/>
      <x:c r="I65" s="25" t="n">
        <x:f aca="0">SUM(E65*F65)</x:f>
        <x:v>0</x:v>
      </x:c>
      <x:c r="J65" s="25"/>
      <x:c r="K65" s="25"/>
      <x:c r="L65" s="23"/>
      <x:c r="M65" s="23"/>
    </x:row>
    <x:row r="66" ht="22.200000762939453" hidden="0">
      <x:c r="A66" s="24" t="s">
        <x:v>60</x:v>
      </x:c>
      <x:c r="B66" s="24"/>
      <x:c r="C66" s="24"/>
      <x:c r="D66" s="24"/>
      <x:c r="E66" s="24"/>
      <x:c r="F66" s="24"/>
      <x:c r="G66" s="25"/>
      <x:c r="H66" s="25"/>
      <x:c r="I66" s="25" t="n">
        <x:f aca="0">SUM(E66*F66)</x:f>
        <x:v>0</x:v>
      </x:c>
      <x:c r="J66" s="25"/>
      <x:c r="K66" s="25"/>
      <x:c r="L66" s="23"/>
      <x:c r="M66" s="23"/>
    </x:row>
    <x:row r="67" ht="22.200000762939453" hidden="0">
      <x:c r="A67" s="24" t="s">
        <x:v>61</x:v>
      </x:c>
      <x:c r="B67" s="24"/>
      <x:c r="C67" s="24"/>
      <x:c r="D67" s="24"/>
      <x:c r="E67" s="24"/>
      <x:c r="F67" s="24"/>
      <x:c r="G67" s="25"/>
      <x:c r="H67" s="25"/>
      <x:c r="I67" s="25" t="n">
        <x:f aca="0">SUM(E67*F67)</x:f>
        <x:v>0</x:v>
      </x:c>
      <x:c r="J67" s="25"/>
      <x:c r="K67" s="25"/>
      <x:c r="L67" s="23"/>
      <x:c r="M67" s="23"/>
    </x:row>
    <x:row r="68" ht="22.200000762939453" hidden="0">
      <x:c r="A68" s="24" t="s">
        <x:v>62</x:v>
      </x:c>
      <x:c r="B68" s="24"/>
      <x:c r="C68" s="24"/>
      <x:c r="D68" s="24"/>
      <x:c r="E68" s="24"/>
      <x:c r="F68" s="24"/>
      <x:c r="G68" s="25"/>
      <x:c r="H68" s="25"/>
      <x:c r="I68" s="25" t="n">
        <x:f aca="0">SUM(E68*F68)</x:f>
        <x:v>0</x:v>
      </x:c>
      <x:c r="J68" s="25"/>
      <x:c r="K68" s="25"/>
      <x:c r="L68" s="23"/>
      <x:c r="M68" s="23"/>
    </x:row>
    <x:row r="69" ht="22.200000762939453" hidden="0">
      <x:c r="A69" s="24" t="s">
        <x:v>63</x:v>
      </x:c>
      <x:c r="B69" s="24"/>
      <x:c r="C69" s="24"/>
      <x:c r="D69" s="24"/>
      <x:c r="E69" s="24"/>
      <x:c r="F69" s="24"/>
      <x:c r="G69" s="25"/>
      <x:c r="H69" s="25"/>
      <x:c r="I69" s="25" t="n">
        <x:f aca="0">SUM(E69*F69)</x:f>
        <x:v>0</x:v>
      </x:c>
      <x:c r="J69" s="25"/>
      <x:c r="K69" s="25"/>
      <x:c r="L69" s="23"/>
      <x:c r="M69" s="23"/>
    </x:row>
    <x:row r="70" ht="22.200000762939453" hidden="0">
      <x:c r="A70" s="24"/>
      <x:c r="B70" s="24"/>
      <x:c r="C70" s="24"/>
      <x:c r="D70" s="24"/>
      <x:c r="E70" s="24"/>
      <x:c r="F70" s="24"/>
      <x:c r="G70" s="25"/>
      <x:c r="H70" s="25"/>
      <x:c r="I70" s="25" t="n">
        <x:f aca="0">SUM(E70*F70)</x:f>
        <x:v>0</x:v>
      </x:c>
      <x:c r="J70" s="25"/>
      <x:c r="K70" s="25"/>
      <x:c r="L70" s="23"/>
      <x:c r="M70" s="23"/>
    </x:row>
    <x:row r="71" ht="22.200000762939453" hidden="0">
      <x:c r="A71" s="27"/>
      <x:c r="B71" s="27"/>
      <x:c r="C71" s="27"/>
      <x:c r="D71" s="27"/>
      <x:c r="E71" s="27"/>
      <x:c r="F71" s="27"/>
      <x:c r="G71" s="25" t="n">
        <x:f aca="0">SUM(B71*C71)/90000</x:f>
        <x:v>0</x:v>
      </x:c>
      <x:c r="H71" s="28" t="s">
        <x:v>75</x:v>
      </x:c>
      <x:c r="I71" s="29" t="n">
        <x:f aca="0">SUM(I4:I70)</x:f>
        <x:v>0</x:v>
      </x:c>
      <x:c r="J71" s="29" t="n">
        <x:f aca="0">SUM(I71*1.35)</x:f>
        <x:v>0</x:v>
      </x:c>
      <x:c r="K71" s="29"/>
      <x:c r="L71" s="30"/>
      <x:c r="M71" s="30"/>
    </x:row>
  </x:sheetData>
  <x:mergeCells>
    <x:mergeCell ref="C1:G1"/>
    <x:mergeCell ref="H1:M1"/>
    <x:mergeCell ref="A2:E2"/>
    <x:mergeCell ref="B3:C3"/>
    <x:mergeCell ref="L3:M3"/>
    <x:mergeCell ref="L4:M4"/>
    <x:mergeCell ref="L7:M7"/>
    <x:mergeCell ref="L12:M12"/>
    <x:mergeCell ref="L15:M15"/>
    <x:mergeCell ref="L29:M29"/>
    <x:mergeCell ref="L30:M30"/>
    <x:mergeCell ref="L38:M38"/>
    <x:mergeCell ref="L48:M48"/>
    <x:mergeCell ref="L49:M49"/>
    <x:mergeCell ref="L50:M50"/>
    <x:mergeCell ref="L51:M51"/>
    <x:mergeCell ref="L52:M52"/>
    <x:mergeCell ref="L66:M66"/>
    <x:mergeCell ref="L69:M69"/>
    <x:mergeCell ref="L70:M70"/>
    <x:mergeCell ref="L71:M7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84375" defaultRowHeight="16.200000762939453"/>
  <x:sheetData/>
  <x:pageMargins left="0.7" right="0.7" top="0.75" bottom="0.75" header="0.3" footer="0.3"/>
</x:worksheet>
</file>