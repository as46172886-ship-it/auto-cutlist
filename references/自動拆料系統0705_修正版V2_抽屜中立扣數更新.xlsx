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b89ac597d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3" sheetId="1" r:id="R886d00c6b7974fc0"/>
    <x:sheet xmlns:r="http://schemas.openxmlformats.org/officeDocument/2006/relationships" name="高櫃+內抽" sheetId="2" r:id="R7d4f9505e52347d7"/>
    <x:sheet xmlns:r="http://schemas.openxmlformats.org/officeDocument/2006/relationships" name="矮櫃" sheetId="3" r:id="R4c8662d3c3224d71"/>
    <x:sheet xmlns:r="http://schemas.openxmlformats.org/officeDocument/2006/relationships" name="高櫃+外抽" sheetId="4" r:id="Rf02bb1fe89534414"/>
    <x:sheet xmlns:r="http://schemas.openxmlformats.org/officeDocument/2006/relationships" name="Sheet1" sheetId="5" r:id="R81bf9465316d4a00"/>
    <x:sheet xmlns:r="http://schemas.openxmlformats.org/officeDocument/2006/relationships" name="拆料規則_修正版" sheetId="6" r:id="Rec92dde4bccd4b6a"/>
    <x:sheet xmlns:r="http://schemas.openxmlformats.org/officeDocument/2006/relationships" name="自動拆料V2_單櫃" sheetId="7" r:id="Rf219cb18af6a4786"/>
    <x:sheet xmlns:r="http://schemas.openxmlformats.org/officeDocument/2006/relationships" name="批次拆料V2" sheetId="8" r:id="Rd66413cf3d6f4715"/>
    <x:sheet xmlns:r="http://schemas.openxmlformats.org/officeDocument/2006/relationships" name="舊版差異比對" sheetId="9" r:id="Rd2d2e1cc4e3f40c5"/>
    <x:sheet xmlns:r="http://schemas.openxmlformats.org/officeDocument/2006/relationships" name="已知範例_餐櫃V2" sheetId="10" r:id="Rca13b0517ab1491f"/>
  </x:sheets>
</x:workbook>
</file>

<file path=xl/sharedStrings.xml><?xml version="1.0" encoding="utf-8"?>
<x:sst xmlns:x="http://schemas.openxmlformats.org/spreadsheetml/2006/main">
  <x:si>
    <x:t xml:space="preserve">編號:</x:t>
  </x:si>
  <x:si>
    <x:t xml:space="preserve">單元</x:t>
  </x:si>
  <x:si>
    <x:t xml:space="preserve">項目</x:t>
  </x:si>
  <x:si>
    <x:t xml:space="preserve">規格</x:t>
  </x:si>
  <x:si>
    <x:t xml:space="preserve">厚度</x:t>
  </x:si>
  <x:si>
    <x:t xml:space="preserve">顏色</x:t>
  </x:si>
  <x:si>
    <x:t xml:space="preserve">數量</x:t>
  </x:si>
  <x:si>
    <x:t xml:space="preserve">單價</x:t>
  </x:si>
  <x:si>
    <x:t xml:space="preserve">才數</x:t>
  </x:si>
  <x:si>
    <x:t xml:space="preserve">總才數</x:t>
  </x:si>
  <x:si>
    <x:t xml:space="preserve">總價</x:t>
  </x:si>
  <x:si>
    <x:t xml:space="preserve">高</x:t>
  </x:si>
  <x:si>
    <x:t xml:space="preserve">深</x:t>
  </x:si>
  <x:si>
    <x:t xml:space="preserve">紋路</x:t>
  </x:si>
  <x:si>
    <x:t xml:space="preserve">品項</x:t>
  </x:si>
  <x:si>
    <x:t xml:space="preserve">側板</x:t>
  </x:si>
  <x:si>
    <x:t xml:space="preserve">頂底板</x:t>
  </x:si>
  <x:si>
    <x:t xml:space="preserve">固隔</x:t>
  </x:si>
  <x:si>
    <x:t xml:space="preserve">活隔</x:t>
  </x:si>
  <x:si>
    <x:t xml:space="preserve">門板1</x:t>
  </x:si>
  <x:si>
    <x:t xml:space="preserve">門板2</x:t>
  </x:si>
  <x:si>
    <x:t xml:space="preserve">合計:</x:t>
  </x:si>
  <x:si>
    <x:t xml:space="preserve">寬度</x:t>
  </x:si>
  <x:si>
    <x:t xml:space="preserve">深度</x:t>
  </x:si>
  <x:si>
    <x:t xml:space="preserve">高度</x:t>
  </x:si>
  <x:si>
    <x:t xml:space="preserve">門板(上)高</x:t>
  </x:si>
  <x:si>
    <x:t xml:space="preserve">門板縫</x:t>
  </x:si>
  <x:si>
    <x:t xml:space="preserve">中立左起中心</x:t>
  </x:si>
  <x:si>
    <x:t xml:space="preserve">五金</x:t>
  </x:si>
  <x:si>
    <x:t xml:space="preserve">KD</x:t>
  </x:si>
  <x:si>
    <x:t xml:space="preserve">調整腳</x:t>
  </x:si>
  <x:si>
    <x:t xml:space="preserve">固格器</x:t>
  </x:si>
  <x:si>
    <x:t xml:space="preserve">活格粒</x:t>
  </x:si>
  <x:si>
    <x:t xml:space="preserve">背板</x:t>
  </x:si>
  <x:si>
    <x:t xml:space="preserve">背條</x:t>
  </x:si>
  <x:si>
    <x:t xml:space="preserve">門板</x:t>
  </x:si>
  <x:si>
    <x:t xml:space="preserve">鉸練</x:t>
  </x:si>
  <x:si>
    <x:t xml:space="preserve">門板(上)</x:t>
  </x:si>
  <x:si>
    <x:t xml:space="preserve">斜把手門板</x:t>
  </x:si>
  <x:si>
    <x:t xml:space="preserve">門板(斜)</x:t>
  </x:si>
  <x:si>
    <x:t xml:space="preserve">門板斜(上)</x:t>
  </x:si>
  <x:si>
    <x:t xml:space="preserve">門板斜(下)</x:t>
  </x:si>
  <x:si>
    <x:t xml:space="preserve">內退固隔(退19)</x:t>
  </x:si>
  <x:si>
    <x:t xml:space="preserve">橫擋板</x:t>
  </x:si>
  <x:si>
    <x:t xml:space="preserve">立擋板(斜)</x:t>
  </x:si>
  <x:si>
    <x:t xml:space="preserve">立擋板(下)</x:t>
  </x:si>
  <x:si>
    <x:t xml:space="preserve">內退固隔(退10)</x:t>
  </x:si>
  <x:si>
    <x:t xml:space="preserve">中立板到頂</x:t>
  </x:si>
  <x:si>
    <x:t xml:space="preserve">中立板到固隔</x:t>
  </x:si>
  <x:si>
    <x:t xml:space="preserve">左固隔</x:t>
  </x:si>
  <x:si>
    <x:t xml:space="preserve">右固隔</x:t>
  </x:si>
  <x:si>
    <x:t xml:space="preserve">左活隔</x:t>
  </x:si>
  <x:si>
    <x:t xml:space="preserve">右活隔</x:t>
  </x:si>
  <x:si>
    <x:t xml:space="preserve">櫃體數</x:t>
  </x:si>
  <x:si>
    <x:t xml:space="preserve">R把收手推拉門</x:t>
  </x:si>
  <x:si>
    <x:t xml:space="preserve">側封板</x:t>
  </x:si>
  <x:si>
    <x:t xml:space="preserve">修邊側封板</x:t>
  </x:si>
  <x:si>
    <x:t xml:space="preserve">上軌道AL027-2A</x:t>
  </x:si>
  <x:si>
    <x:t xml:space="preserve">上下軌道板</x:t>
  </x:si>
  <x:si>
    <x:t xml:space="preserve">下軌道AL027-2A</x:t>
  </x:si>
  <x:si>
    <x:t xml:space="preserve">推拉門片(2)</x:t>
  </x:si>
  <x:si>
    <x:t xml:space="preserve">門輪組</x:t>
  </x:si>
  <x:si>
    <x:t xml:space="preserve">推拉門片(3)</x:t>
  </x:si>
  <x:si>
    <x:t xml:space="preserve">內抽</x:t>
  </x:si>
  <x:si>
    <x:t xml:space="preserve">屜頭高度</x:t>
  </x:si>
  <x:si>
    <x:t xml:space="preserve">固格高度</x:t>
  </x:si>
  <x:si>
    <x:t xml:space="preserve">指縫數量</x:t>
  </x:si>
  <x:si>
    <x:t xml:space="preserve">指縫高度</x:t>
  </x:si>
  <x:si>
    <x:t xml:space="preserve">內抽組數</x:t>
  </x:si>
  <x:si>
    <x:t xml:space="preserve">抽內封板</x:t>
  </x:si>
  <x:si>
    <x:t xml:space="preserve">左右抽牆</x:t>
  </x:si>
  <x:si>
    <x:t xml:space="preserve">40滑軌</x:t>
  </x:si>
  <x:si>
    <x:t xml:space="preserve">前後屜牆</x:t>
  </x:si>
  <x:si>
    <x:t xml:space="preserve">木榫</x:t>
  </x:si>
  <x:si>
    <x:t xml:space="preserve">屜底板</x:t>
  </x:si>
  <x:si>
    <x:t xml:space="preserve">屜頭</x:t>
  </x:si>
  <x:si>
    <x:t xml:space="preserve">內退固隔</x:t>
  </x:si>
  <x:si>
    <x:t xml:space="preserve">外抽+門+(上門)</x:t>
  </x:si>
  <x:si>
    <x:t xml:space="preserve">抽屜固格</x:t>
  </x:si>
  <x:si>
    <x:t xml:space="preserve">抽屜指縫數量</x:t>
  </x:si>
  <x:si>
    <x:t xml:space="preserve">抽組數</x:t>
  </x:si>
  <x:si>
    <x:t xml:space="preserve">45滑軌</x:t>
  </x:si>
</x:sst>
</file>

<file path=xl/styles.xml><?xml version="1.0" encoding="utf-8"?>
<x:styleSheet xmlns:x="http://schemas.openxmlformats.org/spreadsheetml/2006/main">
  <x:numFmts count="1">
    <x:numFmt numFmtId="176" formatCode="0_ "/>
  </x:numFmts>
  <x:fonts count="11">
    <x:font>
      <x:sz val="12"/>
      <x:color theme="1"/>
      <x:name val="新細明體"/>
    </x:font>
    <x:font>
      <x:sz val="9"/>
      <x:name val="新細明體"/>
    </x:font>
    <x:font>
      <x:b/>
      <x:sz val="16"/>
      <x:name val="標楷體"/>
    </x:font>
    <x:font>
      <x:sz val="9"/>
      <x:name val="新細明體"/>
    </x:font>
    <x:font>
      <x:b/>
      <x:sz val="12"/>
      <x:name val="新細明體"/>
    </x:font>
    <x:font>
      <x:sz val="12"/>
      <x:color rgb="FFFF0000"/>
      <x:name val="新細明體"/>
    </x:font>
    <x:font>
      <x:sz val="12"/>
      <x:name val="新細明體"/>
    </x:font>
    <x:font>
      <x:b/>
      <x:sz val="24"/>
      <x:color theme="1"/>
      <x:name val="新細明體"/>
    </x:font>
    <x:font>
      <x:sz val="12"/>
      <x:name val="新細明體"/>
    </x:font>
    <x:font>
      <x:b/>
      <x:sz val="14"/>
      <x:color rgb="FFFFFFFF"/>
      <x:name val="新細明體"/>
    </x:font>
    <x:font>
      <x:b/>
      <x:sz val="12"/>
      <x:color rgb="FFFFFFFF"/>
      <x:name val="新細明體"/>
    </x:font>
  </x:fonts>
  <x:fills count="1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rgb="FF00B0F0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7F6000"/>
      </x:patternFill>
    </x:fill>
    <x:fill>
      <x:patternFill patternType="solid">
        <x:fgColor rgb="FFC65911"/>
      </x:patternFill>
    </x:fill>
    <x:fill>
      <x:patternFill patternType="solid">
        <x:fgColor rgb="FF76933C"/>
      </x:patternFill>
    </x:fill>
    <x:fill>
      <x:patternFill patternType="solid">
        <x:fgColor rgb="FF833C0C"/>
      </x:patternFill>
    </x:fill>
    <x:fill>
      <x:patternFill patternType="solid">
        <x:fgColor rgb="FF548235"/>
      </x:patternFill>
    </x:fill>
  </x:fills>
  <x:borders count="46"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>
      <x:alignment vertical="center"/>
    </x:xf>
  </x:cellStyleXfs>
  <x:cellXfs count="254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0" fontId="2" fillId="0" borderId="1" xfId="0" applyFont="1" applyBorder="1" applyAlignment="1">
      <x:alignment horizontal="left" vertical="center"/>
    </x:xf>
    <x:xf numFmtId="0" fontId="2" fillId="0" borderId="2" xfId="0" applyFont="1" applyBorder="1">
      <x:alignment vertical="center"/>
    </x:xf>
    <x:xf numFmtId="176" fontId="2" fillId="0" borderId="2" xfId="0" applyNumberFormat="1" applyFont="1" applyBorder="1">
      <x:alignment vertical="center"/>
    </x:xf>
    <x:xf numFmtId="0" fontId="2" fillId="0" borderId="3" xfId="0" applyFont="1" applyBorder="1">
      <x:alignment vertical="center"/>
    </x:xf>
    <x:xf numFmtId="176" fontId="2" fillId="0" borderId="3" xfId="0" applyNumberFormat="1" applyFont="1" applyBorder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0" fillId="0" borderId="0" xfId="0" applyAlignment="1">
      <x:alignment vertical="center"/>
    </x:xf>
    <x:xf numFmtId="0" fontId="0" fillId="4" borderId="0" xfId="0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0" fillId="2" borderId="0" xfId="0" applyFill="1">
      <x:alignment vertical="center"/>
    </x:xf>
    <x:xf numFmtId="0" fontId="2" fillId="0" borderId="2" xfId="0" applyFont="1" applyBorder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0" fillId="4" borderId="0" xfId="0" applyFill="1">
      <x:alignment vertical="center"/>
    </x:xf>
    <x:xf numFmtId="0" fontId="5" fillId="4" borderId="0" xfId="0" applyFont="1" applyFill="1">
      <x:alignment vertical="center"/>
    </x:xf>
    <x:xf numFmtId="0" fontId="0" fillId="0" borderId="0" xfId="0" applyAlignment="1">
      <x:alignment horizontal="center" vertical="center" wrapText="1"/>
    </x:xf>
    <x:xf numFmtId="0" fontId="6" fillId="5" borderId="0" xfId="0" applyFont="1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7" fillId="0" borderId="0" xfId="0" applyFont="1">
      <x:alignment vertical="center"/>
    </x:xf>
    <x:xf numFmtId="0" fontId="0" fillId="6" borderId="0" xfId="0" applyFill="1" applyAlignment="1">
      <x:alignment vertical="center"/>
    </x:xf>
    <x:xf numFmtId="0" fontId="0" fillId="6" borderId="0" xfId="0" applyFill="1" applyAlignment="1">
      <x:alignment horizontal="center" vertical="center"/>
    </x:xf>
    <x:xf numFmtId="0" fontId="0" fillId="6" borderId="0" xfId="0" applyFill="1">
      <x:alignment vertical="center"/>
    </x:xf>
    <x:xf numFmtId="0" fontId="0" fillId="7" borderId="0" xfId="0" applyFill="1">
      <x:alignment vertical="center"/>
    </x:xf>
    <x:xf numFmtId="0" fontId="0" fillId="7" borderId="0" xfId="0" applyFill="1" applyAlignment="1">
      <x:alignment horizontal="center" vertical="center"/>
    </x:xf>
    <x:xf numFmtId="0" fontId="6" fillId="7" borderId="0" xfId="0" applyFont="1" applyFill="1" applyAlignment="1">
      <x:alignment vertical="center"/>
    </x:xf>
    <x:xf numFmtId="0" fontId="8" fillId="7" borderId="0" xfId="0" applyFont="1" applyFill="1" applyAlignment="1">
      <x:alignment horizontal="center" vertical="center"/>
    </x:xf>
    <x:xf numFmtId="0" fontId="6" fillId="7" borderId="0" xfId="0" applyFont="1" applyFill="1">
      <x:alignment vertical="center"/>
    </x:xf>
    <x:xf numFmtId="0" fontId="2" fillId="0" borderId="0" xfId="0" applyFont="1" applyAlignment="1">
      <x:alignment horizontal="left"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7" xfId="0" applyNumberFormat="1" applyFont="1" applyFill="1" applyBorder="1" applyAlignment="1">
      <x:alignment vertical="center"/>
    </x:xf>
    <x:xf numFmtId="176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176" fontId="2" fillId="0" borderId="8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left" vertical="center"/>
    </x:xf>
    <x:xf numFmtId="0" fontId="0" fillId="2" borderId="5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2" borderId="5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8" borderId="5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0" fillId="9" borderId="10" xfId="0" applyNumberFormat="1" applyFont="1" applyFill="1" applyBorder="1" applyAlignment="1">
      <x:alignment horizontal="center" vertical="center" wrapText="1"/>
    </x:xf>
    <x:xf numFmtId="0" fontId="10" fillId="9" borderId="11" xfId="0" applyNumberFormat="1" applyFont="1" applyFill="1" applyBorder="1" applyAlignment="1">
      <x:alignment horizontal="center" vertical="center" wrapText="1"/>
    </x:xf>
    <x:xf numFmtId="0" fontId="10" fillId="9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9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0" borderId="5" xfId="0" applyNumberFormat="1" applyFont="1" applyFill="1" applyBorder="1" applyAlignment="1">
      <x:alignment vertical="center"/>
    </x:xf>
    <x:xf numFmtId="0" fontId="9" fillId="10" borderId="5" xfId="0" applyNumberFormat="1" applyFont="1" applyFill="1" applyBorder="1" applyAlignment="1">
      <x:alignment vertical="center"/>
    </x:xf>
    <x:xf numFmtId="0" fontId="9" fillId="10" borderId="5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0" fillId="10" borderId="5" xfId="0" applyNumberFormat="1" applyFont="1" applyFill="1" applyBorder="1" applyAlignment="1">
      <x:alignment vertical="center"/>
    </x:xf>
    <x:xf numFmtId="0" fontId="10" fillId="10" borderId="5" xfId="0" applyNumberFormat="1" applyFont="1" applyFill="1" applyBorder="1" applyAlignment="1">
      <x:alignment vertical="center" wrapText="1"/>
    </x:xf>
    <x:xf numFmtId="0" fontId="10" fillId="10" borderId="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0" fillId="11" borderId="5" xfId="0" applyNumberFormat="1" applyFont="1" applyFill="1" applyBorder="1" applyAlignment="1">
      <x:alignment vertical="center"/>
    </x:xf>
    <x:xf numFmtId="0" fontId="10" fillId="10" borderId="28" xfId="0" applyNumberFormat="1" applyFont="1" applyFill="1" applyBorder="1" applyAlignment="1">
      <x:alignment horizontal="center" vertical="center" wrapText="1"/>
    </x:xf>
    <x:xf numFmtId="0" fontId="10" fillId="10" borderId="29" xfId="0" applyNumberFormat="1" applyFont="1" applyFill="1" applyBorder="1" applyAlignment="1">
      <x:alignment horizontal="center" vertical="center" wrapText="1"/>
    </x:xf>
    <x:xf numFmtId="0" fontId="10" fillId="10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vertical="center"/>
    </x:xf>
    <x:xf numFmtId="0" fontId="0" fillId="11" borderId="32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11" borderId="35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10" fillId="10" borderId="37" xfId="0" applyNumberFormat="1" applyFont="1" applyFill="1" applyBorder="1" applyAlignment="1">
      <x:alignment horizontal="center" vertical="center" wrapText="1"/>
    </x:xf>
    <x:xf numFmtId="0" fontId="10" fillId="10" borderId="38" xfId="0" applyNumberFormat="1" applyFont="1" applyFill="1" applyBorder="1" applyAlignment="1">
      <x:alignment horizontal="center" vertical="center" wrapText="1"/>
    </x:xf>
    <x:xf numFmtId="0" fontId="10" fillId="10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vertical="center"/>
    </x:xf>
    <x:xf numFmtId="0" fontId="0" fillId="11" borderId="41" xfId="0" applyNumberFormat="1" applyFont="1" applyFill="1" applyBorder="1" applyAlignment="1">
      <x:alignment vertical="center"/>
    </x:xf>
    <x:xf numFmtId="0" fontId="0" fillId="0" borderId="41" xfId="0" applyNumberFormat="1" applyFont="1" applyFill="1" applyBorder="1" applyAlignment="1">
      <x:alignment vertical="center"/>
    </x:xf>
    <x:xf numFmtId="0" fontId="0" fillId="0" borderId="42" xfId="0" applyNumberFormat="1" applyFont="1" applyFill="1" applyBorder="1" applyAlignment="1">
      <x:alignment vertical="center"/>
    </x:xf>
    <x:xf numFmtId="0" fontId="0" fillId="0" borderId="43" xfId="0" applyNumberFormat="1" applyFont="1" applyFill="1" applyBorder="1" applyAlignment="1">
      <x:alignment vertical="center"/>
    </x:xf>
    <x:xf numFmtId="0" fontId="0" fillId="11" borderId="44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 applyAlignment="1">
      <x:alignment vertical="center"/>
    </x:xf>
    <x:xf numFmtId="0" fontId="0" fillId="0" borderId="45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0" fillId="12" borderId="5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 wrapText="1"/>
    </x:xf>
    <x:xf numFmtId="0" fontId="10" fillId="12" borderId="5" xfId="0" applyNumberFormat="1" applyFont="1" applyFill="1" applyBorder="1" applyAlignment="1">
      <x:alignment horizontal="center" vertical="center" wrapText="1"/>
    </x:xf>
    <x:xf numFmtId="0" fontId="10" fillId="12" borderId="28" xfId="0" applyNumberFormat="1" applyFont="1" applyFill="1" applyBorder="1" applyAlignment="1">
      <x:alignment horizontal="center" vertical="center" wrapText="1"/>
    </x:xf>
    <x:xf numFmtId="0" fontId="10" fillId="12" borderId="29" xfId="0" applyNumberFormat="1" applyFont="1" applyFill="1" applyBorder="1" applyAlignment="1">
      <x:alignment horizontal="center" vertical="center" wrapText="1"/>
    </x:xf>
    <x:xf numFmtId="0" fontId="10" fillId="12" borderId="30" xfId="0" applyNumberFormat="1" applyFont="1" applyFill="1" applyBorder="1" applyAlignment="1">
      <x:alignment horizontal="center" vertical="center" wrapText="1"/>
    </x:xf>
    <x:xf numFmtId="0" fontId="10" fillId="12" borderId="37" xfId="0" applyNumberFormat="1" applyFont="1" applyFill="1" applyBorder="1" applyAlignment="1">
      <x:alignment horizontal="center" vertical="center" wrapText="1"/>
    </x:xf>
    <x:xf numFmtId="0" fontId="10" fillId="12" borderId="38" xfId="0" applyNumberFormat="1" applyFont="1" applyFill="1" applyBorder="1" applyAlignment="1">
      <x:alignment horizontal="center" vertical="center" wrapText="1"/>
    </x:xf>
    <x:xf numFmtId="0" fontId="10" fillId="12" borderId="39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5" xfId="0" applyNumberFormat="1" applyFont="1" applyFill="1" applyBorder="1" applyAlignment="1">
      <x:alignment vertical="center"/>
    </x:xf>
    <x:xf numFmtId="0" fontId="10" fillId="8" borderId="5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horizontal="center" vertical="center" wrapText="1"/>
    </x:xf>
    <x:xf numFmtId="0" fontId="10" fillId="8" borderId="10" xfId="0" applyNumberFormat="1" applyFont="1" applyFill="1" applyBorder="1" applyAlignment="1">
      <x:alignment horizontal="center" vertical="center" wrapText="1"/>
    </x:xf>
    <x:xf numFmtId="0" fontId="10" fillId="8" borderId="11" xfId="0" applyNumberFormat="1" applyFont="1" applyFill="1" applyBorder="1" applyAlignment="1">
      <x:alignment horizontal="center" vertical="center" wrapText="1"/>
    </x:xf>
    <x:xf numFmtId="0" fontId="10" fillId="8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horizontal="center" vertical="center" wrapText="1"/>
    </x:xf>
    <x:xf numFmtId="0" fontId="10" fillId="8" borderId="20" xfId="0" applyNumberFormat="1" applyFont="1" applyFill="1" applyBorder="1" applyAlignment="1">
      <x:alignment horizontal="center" vertical="center" wrapText="1"/>
    </x:xf>
    <x:xf numFmtId="0" fontId="10" fillId="8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horizontal="center" vertical="center"/>
    </x:xf>
    <x:xf numFmtId="0" fontId="0" fillId="13" borderId="5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10" fillId="13" borderId="5" xfId="0" applyNumberFormat="1" applyFont="1" applyFill="1" applyBorder="1" applyAlignment="1">
      <x:alignment vertical="center"/>
    </x:xf>
    <x:xf numFmtId="0" fontId="10" fillId="13" borderId="5" xfId="0" applyNumberFormat="1" applyFont="1" applyFill="1" applyBorder="1" applyAlignment="1">
      <x:alignment vertical="center" wrapText="1"/>
    </x:xf>
    <x:xf numFmtId="0" fontId="10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0" fillId="14" borderId="5" xfId="0" applyNumberFormat="1" applyFont="1" applyFill="1" applyBorder="1" applyAlignment="1">
      <x:alignment vertical="center"/>
    </x:xf>
    <x:xf numFmtId="0" fontId="10" fillId="14" borderId="5" xfId="0" applyNumberFormat="1" applyFont="1" applyFill="1" applyBorder="1" applyAlignment="1">
      <x:alignment vertical="center"/>
    </x:xf>
    <x:xf numFmtId="0" fontId="10" fillId="14" borderId="5" xfId="0" applyNumberFormat="1" applyFont="1" applyFill="1" applyBorder="1" applyAlignment="1">
      <x:alignment vertical="center" wrapText="1"/>
    </x:xf>
    <x:xf numFmtId="0" fontId="10" fillId="14" borderId="5" xfId="0" applyNumberFormat="1" applyFont="1" applyFill="1" applyBorder="1" applyAlignment="1">
      <x:alignment horizontal="center" vertical="center" wrapText="1"/>
    </x:xf>
    <x:xf numFmtId="0" fontId="10" fillId="13" borderId="10" xfId="0" applyNumberFormat="1" applyFont="1" applyFill="1" applyBorder="1" applyAlignment="1">
      <x:alignment horizontal="center" vertical="center" wrapText="1"/>
    </x:xf>
    <x:xf numFmtId="0" fontId="10" fillId="13" borderId="11" xfId="0" applyNumberFormat="1" applyFont="1" applyFill="1" applyBorder="1" applyAlignment="1">
      <x:alignment horizontal="center" vertical="center" wrapText="1"/>
    </x:xf>
    <x:xf numFmtId="0" fontId="10" fillId="13" borderId="12" xfId="0" applyNumberFormat="1" applyFont="1" applyFill="1" applyBorder="1" applyAlignment="1">
      <x:alignment horizontal="center" vertical="center" wrapText="1"/>
    </x:xf>
    <x:xf numFmtId="0" fontId="10" fillId="13" borderId="19" xfId="0" applyNumberFormat="1" applyFont="1" applyFill="1" applyBorder="1" applyAlignment="1">
      <x:alignment horizontal="center" vertical="center" wrapText="1"/>
    </x:xf>
    <x:xf numFmtId="0" fontId="10" fillId="13" borderId="20" xfId="0" applyNumberFormat="1" applyFont="1" applyFill="1" applyBorder="1" applyAlignment="1">
      <x:alignment horizontal="center" vertical="center" wrapText="1"/>
    </x:xf>
    <x:xf numFmtId="0" fontId="10" fillId="13" borderId="2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0" fillId="15" borderId="5" xfId="0" applyNumberFormat="1" applyFont="1" applyFill="1" applyBorder="1" applyAlignment="1">
      <x:alignment vertical="center"/>
    </x:xf>
    <x:xf numFmtId="0" fontId="9" fillId="15" borderId="5" xfId="0" applyNumberFormat="1" applyFont="1" applyFill="1" applyBorder="1" applyAlignment="1">
      <x:alignment vertical="center"/>
    </x:xf>
    <x:xf numFmtId="0" fontId="9" fillId="15" borderId="5" xfId="0" applyNumberFormat="1" applyFont="1" applyFill="1" applyBorder="1" applyAlignment="1">
      <x:alignment horizontal="center" vertical="center"/>
    </x:xf>
    <x:xf numFmtId="0" fontId="10" fillId="15" borderId="0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0" fillId="15" borderId="5" xfId="0" applyNumberFormat="1" applyFont="1" applyFill="1" applyBorder="1" applyAlignment="1">
      <x:alignment vertical="center"/>
    </x:xf>
    <x:xf numFmtId="0" fontId="10" fillId="15" borderId="5" xfId="0" applyNumberFormat="1" applyFont="1" applyFill="1" applyBorder="1" applyAlignment="1">
      <x:alignment vertical="center" wrapText="1"/>
    </x:xf>
    <x:xf numFmtId="0" fontId="10" fillId="15" borderId="5" xfId="0" applyNumberFormat="1" applyFont="1" applyFill="1" applyBorder="1" applyAlignment="1">
      <x:alignment horizontal="center" vertical="center" wrapText="1"/>
    </x:xf>
    <x:xf numFmtId="0" fontId="10" fillId="15" borderId="28" xfId="0" applyNumberFormat="1" applyFont="1" applyFill="1" applyBorder="1" applyAlignment="1">
      <x:alignment horizontal="center" vertical="center" wrapText="1"/>
    </x:xf>
    <x:xf numFmtId="0" fontId="10" fillId="15" borderId="29" xfId="0" applyNumberFormat="1" applyFont="1" applyFill="1" applyBorder="1" applyAlignment="1">
      <x:alignment horizontal="center" vertical="center" wrapText="1"/>
    </x:xf>
    <x:xf numFmtId="0" fontId="10" fillId="15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10" fillId="15" borderId="37" xfId="0" applyNumberFormat="1" applyFont="1" applyFill="1" applyBorder="1" applyAlignment="1">
      <x:alignment horizontal="center" vertical="center" wrapText="1"/>
    </x:xf>
    <x:xf numFmtId="0" fontId="10" fillId="15" borderId="38" xfId="0" applyNumberFormat="1" applyFont="1" applyFill="1" applyBorder="1" applyAlignment="1">
      <x:alignment horizontal="center" vertical="center" wrapText="1"/>
    </x:xf>
    <x:xf numFmtId="0" fontId="10" fillId="15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horizontal="center" vertical="center"/>
    </x:xf>
    <x:xf numFmtId="0" fontId="0" fillId="16" borderId="5" xfId="0" applyNumberFormat="1" applyFont="1" applyFill="1" applyBorder="1" applyAlignment="1">
      <x:alignment vertical="center"/>
    </x:xf>
    <x:xf numFmtId="0" fontId="9" fillId="16" borderId="5" xfId="0" applyNumberFormat="1" applyFont="1" applyFill="1" applyBorder="1" applyAlignment="1">
      <x:alignment vertical="center"/>
    </x:xf>
    <x:xf numFmtId="0" fontId="9" fillId="16" borderId="5" xfId="0" applyNumberFormat="1" applyFont="1" applyFill="1" applyBorder="1" applyAlignment="1">
      <x:alignment horizontal="center"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10" fillId="16" borderId="5" xfId="0" applyNumberFormat="1" applyFont="1" applyFill="1" applyBorder="1" applyAlignment="1">
      <x:alignment vertical="center"/>
    </x:xf>
    <x:xf numFmtId="0" fontId="10" fillId="16" borderId="5" xfId="0" applyNumberFormat="1" applyFont="1" applyFill="1" applyBorder="1" applyAlignment="1">
      <x:alignment vertical="center" wrapText="1"/>
    </x:xf>
    <x:xf numFmtId="0" fontId="10" fillId="16" borderId="5" xfId="0" applyNumberFormat="1" applyFont="1" applyFill="1" applyBorder="1" applyAlignment="1">
      <x:alignment horizontal="center" vertical="center" wrapText="1"/>
    </x:xf>
    <x:xf numFmtId="0" fontId="10" fillId="16" borderId="10" xfId="0" applyNumberFormat="1" applyFont="1" applyFill="1" applyBorder="1" applyAlignment="1">
      <x:alignment horizontal="center" vertical="center" wrapText="1"/>
    </x:xf>
    <x:xf numFmtId="0" fontId="10" fillId="16" borderId="11" xfId="0" applyNumberFormat="1" applyFont="1" applyFill="1" applyBorder="1" applyAlignment="1">
      <x:alignment horizontal="center" vertical="center" wrapText="1"/>
    </x:xf>
    <x:xf numFmtId="0" fontId="10" fillId="16" borderId="12" xfId="0" applyNumberFormat="1" applyFont="1" applyFill="1" applyBorder="1" applyAlignment="1">
      <x:alignment horizontal="center" vertical="center" wrapText="1"/>
    </x:xf>
    <x:xf numFmtId="0" fontId="10" fillId="16" borderId="19" xfId="0" applyNumberFormat="1" applyFont="1" applyFill="1" applyBorder="1" applyAlignment="1">
      <x:alignment horizontal="center" vertical="center" wrapText="1"/>
    </x:xf>
    <x:xf numFmtId="0" fontId="10" fillId="16" borderId="20" xfId="0" applyNumberFormat="1" applyFont="1" applyFill="1" applyBorder="1" applyAlignment="1">
      <x:alignment horizontal="center" vertical="center" wrapText="1"/>
    </x:xf>
    <x:xf numFmtId="0" fontId="10" fillId="16" borderId="2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4cffab7744425" /><Relationship Type="http://schemas.openxmlformats.org/officeDocument/2006/relationships/theme" Target="/xl/theme/theme1.xml" Id="Rceccd130544946ce" /><Relationship Type="http://schemas.openxmlformats.org/officeDocument/2006/relationships/sharedStrings" Target="/xl/sharedStrings.xml" Id="R9af665bc98d64576" /><Relationship Type="http://schemas.openxmlformats.org/officeDocument/2006/relationships/worksheet" Target="/xl/worksheets/sheet1.xml" Id="R886d00c6b7974fc0" /><Relationship Type="http://schemas.openxmlformats.org/officeDocument/2006/relationships/worksheet" Target="/xl/worksheets/sheet2.xml" Id="R7d4f9505e52347d7" /><Relationship Type="http://schemas.openxmlformats.org/officeDocument/2006/relationships/worksheet" Target="/xl/worksheets/sheet3.xml" Id="R4c8662d3c3224d71" /><Relationship Type="http://schemas.openxmlformats.org/officeDocument/2006/relationships/worksheet" Target="/xl/worksheets/sheet4.xml" Id="Rf02bb1fe89534414" /><Relationship Type="http://schemas.openxmlformats.org/officeDocument/2006/relationships/worksheet" Target="/xl/worksheets/sheet5.xml" Id="R81bf9465316d4a00" /><Relationship Type="http://schemas.openxmlformats.org/officeDocument/2006/relationships/worksheet" Target="/xl/worksheets/sheet6.xml" Id="Rec92dde4bccd4b6a" /><Relationship Type="http://schemas.openxmlformats.org/officeDocument/2006/relationships/worksheet" Target="/xl/worksheets/sheet7.xml" Id="Rf219cb18af6a4786" /><Relationship Type="http://schemas.openxmlformats.org/officeDocument/2006/relationships/worksheet" Target="/xl/worksheets/sheet8.xml" Id="Rd66413cf3d6f4715" /><Relationship Type="http://schemas.openxmlformats.org/officeDocument/2006/relationships/worksheet" Target="/xl/worksheets/sheet9.xml" Id="Rd2d2e1cc4e3f40c5" /><Relationship Type="http://schemas.openxmlformats.org/officeDocument/2006/relationships/worksheet" Target="/xl/worksheets/sheet10.xml" Id="Rca13b0517ab1491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sheetData>
    <x:row r="1" ht="21">
      <x:c r="A1" s="1" t="s">
        <x:v>0</x:v>
      </x:c>
      <x:c r="B1" s="1">
        <x:v>1</x:v>
      </x:c>
      <x:c r="C1" s="36" t="s">
        <x:v>1</x:v>
      </x:c>
      <x:c r="D1" s="36"/>
      <x:c r="E1" s="36"/>
      <x:c r="F1" s="36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1">
      <x:c r="A2" s="37"/>
      <x:c r="B2" s="37"/>
      <x:c r="C2" s="37"/>
      <x:c r="D2" s="37"/>
      <x:c r="E2" s="37"/>
      <x:c r="F2" s="37"/>
      <x:c r="G2" s="8"/>
      <x:c r="H2" s="3"/>
      <x:c r="I2" s="3"/>
      <x:c r="J2" s="10"/>
      <x:c r="K2" s="10"/>
      <x:c r="L2" s="10"/>
      <x:c r="M2" s="10"/>
      <x:c r="N2" s="10"/>
      <x:c r="O2" s="10"/>
      <x:c r="P2" s="10"/>
      <x:c r="Q2" s="10"/>
    </x:row>
    <x:row r="3" ht="21">
      <x:c r="A3" s="9" t="s">
        <x:v>2</x:v>
      </x:c>
      <x:c r="B3" s="38" t="s">
        <x:v>3</x:v>
      </x:c>
      <x:c r="C3" s="38"/>
      <x:c r="D3" s="9" t="s">
        <x:v>4</x:v>
      </x:c>
      <x:c r="E3" s="9" t="s">
        <x:v>5</x:v>
      </x:c>
      <x:c r="F3" s="9" t="s">
        <x:v>6</x:v>
      </x:c>
      <x:c r="G3" s="9"/>
      <x:c r="H3" s="9" t="s">
        <x:v>7</x:v>
      </x:c>
      <x:c r="I3" s="9" t="s">
        <x:v>8</x:v>
      </x:c>
      <x:c r="J3" s="9" t="s">
        <x:v>9</x:v>
      </x:c>
      <x:c r="K3" s="9" t="s">
        <x:v>10</x:v>
      </x:c>
      <x:c r="L3" s="9"/>
      <x:c r="M3" s="9" t="s">
        <x:v>11</x:v>
      </x:c>
      <x:c r="N3" s="9" t="s">
        <x:v>12</x:v>
      </x:c>
      <x:c r="O3" s="9" t="s">
        <x:v>6</x:v>
      </x:c>
      <x:c r="P3" s="9" t="s">
        <x:v>13</x:v>
      </x:c>
      <x:c r="Q3" s="9" t="s">
        <x:v>14</x:v>
      </x:c>
    </x:row>
    <x:row r="4" ht="21">
      <x:c r="A4" s="4" t="s">
        <x:v>15</x:v>
      </x:c>
      <x:c r="B4" s="4">
        <x:v>554</x:v>
      </x:c>
      <x:c r="C4" s="4">
        <x:v>2400</x:v>
      </x:c>
      <x:c r="D4" s="4">
        <x:v>18</x:v>
      </x:c>
      <x:c r="E4" s="4"/>
      <x:c r="F4" s="4">
        <x:v>2</x:v>
      </x:c>
      <x:c r="G4" s="4"/>
      <x:c r="H4" s="4"/>
      <x:c r="I4" s="5"/>
      <x:c r="J4" s="5"/>
      <x:c r="K4" s="5"/>
      <x:c r="L4" s="5"/>
      <x:c r="M4" s="5"/>
      <x:c r="N4" s="5"/>
      <x:c r="O4" s="5"/>
      <x:c r="P4" s="5"/>
      <x:c r="Q4" s="5"/>
    </x:row>
    <x:row r="5" ht="21">
      <x:c r="A5" s="4" t="s">
        <x:v>16</x:v>
      </x:c>
      <x:c r="B5" s="4">
        <x:v>554</x:v>
      </x:c>
      <x:c r="C5" s="4">
        <x:v>864</x:v>
      </x:c>
      <x:c r="D5" s="4">
        <x:v>18</x:v>
      </x:c>
      <x:c r="E5" s="4"/>
      <x:c r="F5" s="4">
        <x:v>2</x:v>
      </x:c>
      <x:c r="G5" s="4"/>
      <x:c r="H5" s="4"/>
      <x:c r="I5" s="5"/>
      <x:c r="J5" s="5"/>
      <x:c r="K5" s="5"/>
      <x:c r="L5" s="5"/>
      <x:c r="M5" s="5"/>
      <x:c r="N5" s="5"/>
      <x:c r="O5" s="5"/>
      <x:c r="P5" s="5"/>
      <x:c r="Q5" s="5"/>
    </x:row>
    <x:row r="6" ht="21">
      <x:c r="A6" s="4" t="s">
        <x:v>17</x:v>
      </x:c>
      <x:c r="B6" s="4">
        <x:v>525</x:v>
      </x:c>
      <x:c r="C6" s="4">
        <x:v>864</x:v>
      </x:c>
      <x:c r="D6" s="4">
        <x:v>18</x:v>
      </x:c>
      <x:c r="E6" s="4"/>
      <x:c r="F6" s="4">
        <x:v>1</x:v>
      </x:c>
      <x:c r="G6" s="4"/>
      <x:c r="H6" s="4"/>
      <x:c r="I6" s="5"/>
      <x:c r="J6" s="5"/>
      <x:c r="K6" s="5"/>
      <x:c r="L6" s="5"/>
      <x:c r="M6" s="5"/>
      <x:c r="N6" s="5"/>
      <x:c r="O6" s="5"/>
      <x:c r="P6" s="5"/>
      <x:c r="Q6" s="5"/>
    </x:row>
    <x:row r="7" ht="21">
      <x:c r="A7" s="4" t="s">
        <x:v>18</x:v>
      </x:c>
      <x:c r="B7" s="4">
        <x:v>510</x:v>
      </x:c>
      <x:c r="C7" s="4">
        <x:v>863</x:v>
      </x:c>
      <x:c r="D7" s="4">
        <x:v>18</x:v>
      </x:c>
      <x:c r="E7" s="4"/>
      <x:c r="F7" s="4">
        <x:v>5</x:v>
      </x:c>
      <x:c r="G7" s="4"/>
      <x:c r="H7" s="4"/>
      <x:c r="I7" s="5"/>
      <x:c r="J7" s="5"/>
      <x:c r="K7" s="5"/>
      <x:c r="L7" s="5"/>
      <x:c r="M7" s="5"/>
      <x:c r="N7" s="5"/>
      <x:c r="O7" s="5"/>
      <x:c r="P7" s="5"/>
      <x:c r="Q7" s="5"/>
    </x:row>
    <x:row r="8" ht="21">
      <x:c r="A8" s="4" t="s">
        <x:v>19</x:v>
      </x:c>
      <x:c r="B8" s="4">
        <x:v>897</x:v>
      </x:c>
      <x:c r="C8" s="4">
        <x:v>2397</x:v>
      </x:c>
      <x:c r="D8" s="4">
        <x:v>18</x:v>
      </x:c>
      <x:c r="E8" s="4"/>
      <x:c r="F8" s="4">
        <x:v>1</x:v>
      </x:c>
      <x:c r="G8" s="4"/>
      <x:c r="H8" s="4"/>
      <x:c r="I8" s="5"/>
      <x:c r="J8" s="5"/>
      <x:c r="K8" s="5"/>
      <x:c r="L8" s="5"/>
      <x:c r="M8" s="5"/>
      <x:c r="N8" s="5"/>
      <x:c r="O8" s="5"/>
      <x:c r="P8" s="5"/>
      <x:c r="Q8" s="5"/>
    </x:row>
    <x:row r="9" ht="21">
      <x:c r="A9" s="4" t="s">
        <x:v>20</x:v>
      </x:c>
      <x:c r="B9" s="4">
        <x:v>447</x:v>
      </x:c>
      <x:c r="C9" s="4">
        <x:v>2397</x:v>
      </x:c>
      <x:c r="D9" s="4">
        <x:v>18</x:v>
      </x:c>
      <x:c r="E9" s="4"/>
      <x:c r="F9" s="4">
        <x:v>2</x:v>
      </x:c>
      <x:c r="G9" s="4"/>
      <x:c r="H9" s="4"/>
      <x:c r="I9" s="5"/>
      <x:c r="J9" s="5"/>
      <x:c r="K9" s="5"/>
      <x:c r="L9" s="5"/>
      <x:c r="M9" s="5"/>
      <x:c r="N9" s="5"/>
      <x:c r="O9" s="5"/>
      <x:c r="P9" s="5"/>
      <x:c r="Q9" s="5"/>
    </x:row>
    <x:row r="10" ht="21">
      <x:c r="A10" s="4"/>
      <x:c r="B10" s="4"/>
      <x:c r="C10" s="4"/>
      <x:c r="D10" s="4"/>
      <x:c r="E10" s="4"/>
      <x:c r="F10" s="4"/>
      <x:c r="G10" s="4"/>
      <x:c r="H10" s="4"/>
      <x:c r="I10" s="5"/>
      <x:c r="J10" s="5"/>
      <x:c r="K10" s="5"/>
      <x:c r="L10" s="5"/>
      <x:c r="M10" s="5"/>
      <x:c r="N10" s="5"/>
      <x:c r="O10" s="5"/>
      <x:c r="P10" s="5"/>
      <x:c r="Q10" s="5"/>
    </x:row>
    <x:row r="11" ht="21">
      <x:c r="A11" s="4"/>
      <x:c r="B11" s="4"/>
      <x:c r="C11" s="4"/>
      <x:c r="D11" s="4"/>
      <x:c r="E11" s="4"/>
      <x:c r="F11" s="4"/>
      <x:c r="G11" s="4"/>
      <x:c r="H11" s="4"/>
      <x:c r="I11" s="5"/>
      <x:c r="J11" s="5"/>
      <x:c r="K11" s="5"/>
      <x:c r="L11" s="5"/>
      <x:c r="M11" s="5"/>
      <x:c r="N11" s="5"/>
      <x:c r="O11" s="5"/>
      <x:c r="P11" s="5"/>
      <x:c r="Q11" s="5"/>
    </x:row>
    <x:row r="12" ht="21">
      <x:c r="A12" s="4"/>
      <x:c r="B12" s="4"/>
      <x:c r="C12" s="4"/>
      <x:c r="D12" s="4"/>
      <x:c r="E12" s="4"/>
      <x:c r="F12" s="4"/>
      <x:c r="G12" s="4"/>
      <x:c r="H12" s="4"/>
      <x:c r="I12" s="5"/>
      <x:c r="J12" s="5"/>
      <x:c r="K12" s="5"/>
      <x:c r="L12" s="5"/>
      <x:c r="M12" s="5"/>
      <x:c r="N12" s="5"/>
      <x:c r="O12" s="5"/>
      <x:c r="P12" s="5"/>
      <x:c r="Q12" s="5"/>
    </x:row>
    <x:row r="13" ht="21">
      <x:c r="A13" s="4"/>
      <x:c r="B13" s="4"/>
      <x:c r="C13" s="4"/>
      <x:c r="D13" s="4"/>
      <x:c r="E13" s="4"/>
      <x:c r="F13" s="4"/>
      <x:c r="G13" s="4"/>
      <x:c r="H13" s="4"/>
      <x:c r="I13" s="5"/>
      <x:c r="J13" s="5"/>
      <x:c r="K13" s="5"/>
      <x:c r="L13" s="5"/>
      <x:c r="M13" s="5"/>
      <x:c r="N13" s="5"/>
      <x:c r="O13" s="5"/>
      <x:c r="P13" s="5"/>
      <x:c r="Q13" s="5"/>
    </x:row>
    <x:row r="14" ht="21">
      <x:c r="A14" s="4"/>
      <x:c r="B14" s="4"/>
      <x:c r="C14" s="4"/>
      <x:c r="D14" s="4"/>
      <x:c r="E14" s="4"/>
      <x:c r="F14" s="4"/>
      <x:c r="G14" s="4"/>
      <x:c r="H14" s="4"/>
      <x:c r="I14" s="5"/>
      <x:c r="J14" s="5"/>
      <x:c r="K14" s="5"/>
      <x:c r="L14" s="5"/>
      <x:c r="M14" s="5"/>
      <x:c r="N14" s="5"/>
      <x:c r="O14" s="5"/>
      <x:c r="P14" s="5"/>
      <x:c r="Q14" s="5"/>
    </x:row>
    <x:row r="15" ht="21">
      <x:c r="A15" s="4"/>
      <x:c r="B15" s="4"/>
      <x:c r="C15" s="4"/>
      <x:c r="D15" s="4"/>
      <x:c r="E15" s="4"/>
      <x:c r="F15" s="4"/>
      <x:c r="G15" s="4"/>
      <x:c r="H15" s="4"/>
      <x:c r="I15" s="5"/>
      <x:c r="J15" s="5"/>
      <x:c r="K15" s="5"/>
      <x:c r="L15" s="5"/>
      <x:c r="M15" s="5"/>
      <x:c r="N15" s="5"/>
      <x:c r="O15" s="5"/>
      <x:c r="P15" s="5"/>
      <x:c r="Q15" s="5"/>
    </x:row>
    <x:row r="16" ht="21">
      <x:c r="A16" s="4"/>
      <x:c r="B16" s="4"/>
      <x:c r="C16" s="4"/>
      <x:c r="D16" s="4"/>
      <x:c r="E16" s="4"/>
      <x:c r="F16" s="4"/>
      <x:c r="G16" s="4"/>
      <x:c r="H16" s="4"/>
      <x:c r="I16" s="5"/>
      <x:c r="J16" s="5"/>
      <x:c r="K16" s="5"/>
      <x:c r="L16" s="5"/>
      <x:c r="M16" s="5"/>
      <x:c r="N16" s="5"/>
      <x:c r="O16" s="5"/>
      <x:c r="P16" s="5"/>
      <x:c r="Q16" s="5"/>
    </x:row>
    <x:row r="17" ht="21">
      <x:c r="A17" s="4"/>
      <x:c r="B17" s="4"/>
      <x:c r="C17" s="4"/>
      <x:c r="D17" s="4"/>
      <x:c r="E17" s="4"/>
      <x:c r="F17" s="4"/>
      <x:c r="G17" s="4"/>
      <x:c r="H17" s="4"/>
      <x:c r="I17" s="5"/>
      <x:c r="J17" s="5"/>
      <x:c r="K17" s="5"/>
      <x:c r="L17" s="5"/>
      <x:c r="M17" s="5"/>
      <x:c r="N17" s="5"/>
      <x:c r="O17" s="5"/>
      <x:c r="P17" s="5"/>
      <x:c r="Q17" s="5"/>
    </x:row>
    <x:row r="18" ht="21">
      <x:c r="A18" s="4"/>
      <x:c r="B18" s="4"/>
      <x:c r="C18" s="4"/>
      <x:c r="D18" s="4"/>
      <x:c r="E18" s="4"/>
      <x:c r="F18" s="4"/>
      <x:c r="G18" s="4"/>
      <x:c r="H18" s="4"/>
      <x:c r="I18" s="5"/>
      <x:c r="J18" s="5"/>
      <x:c r="K18" s="5"/>
      <x:c r="L18" s="5"/>
      <x:c r="M18" s="5"/>
      <x:c r="N18" s="5"/>
      <x:c r="O18" s="5"/>
      <x:c r="P18" s="5"/>
      <x:c r="Q18" s="5"/>
    </x:row>
    <x:row r="19" ht="21">
      <x:c r="A19" s="4"/>
      <x:c r="B19" s="4"/>
      <x:c r="C19" s="4"/>
      <x:c r="D19" s="4"/>
      <x:c r="E19" s="4"/>
      <x:c r="F19" s="4"/>
      <x:c r="G19" s="4"/>
      <x:c r="H19" s="4"/>
      <x:c r="I19" s="5"/>
      <x:c r="J19" s="5"/>
      <x:c r="K19" s="5"/>
      <x:c r="L19" s="5"/>
      <x:c r="M19" s="5"/>
      <x:c r="N19" s="5"/>
      <x:c r="O19" s="5"/>
      <x:c r="P19" s="5"/>
      <x:c r="Q19" s="5"/>
    </x:row>
    <x:row r="20" ht="21">
      <x:c r="A20" s="4"/>
      <x:c r="B20" s="4"/>
      <x:c r="C20" s="4"/>
      <x:c r="D20" s="4"/>
      <x:c r="E20" s="4"/>
      <x:c r="F20" s="4"/>
      <x:c r="G20" s="4"/>
      <x:c r="H20" s="4"/>
      <x:c r="I20" s="5"/>
      <x:c r="J20" s="5"/>
      <x:c r="K20" s="5"/>
      <x:c r="L20" s="5"/>
      <x:c r="M20" s="5"/>
      <x:c r="N20" s="5"/>
      <x:c r="O20" s="5"/>
      <x:c r="P20" s="5"/>
      <x:c r="Q20" s="5"/>
    </x:row>
    <x:row r="21" ht="21">
      <x:c r="A21" s="4"/>
      <x:c r="B21" s="4"/>
      <x:c r="C21" s="4"/>
      <x:c r="D21" s="4"/>
      <x:c r="E21" s="4"/>
      <x:c r="F21" s="4"/>
      <x:c r="G21" s="4"/>
      <x:c r="H21" s="4"/>
      <x:c r="I21" s="5"/>
      <x:c r="J21" s="5"/>
      <x:c r="K21" s="5"/>
      <x:c r="L21" s="5"/>
      <x:c r="M21" s="5"/>
      <x:c r="N21" s="5"/>
      <x:c r="O21" s="5"/>
      <x:c r="P21" s="5"/>
      <x:c r="Q21" s="5"/>
    </x:row>
    <x:row r="22" ht="21">
      <x:c r="A22" s="4"/>
      <x:c r="B22" s="4"/>
      <x:c r="C22" s="4"/>
      <x:c r="D22" s="4"/>
      <x:c r="E22" s="4"/>
      <x:c r="F22" s="4"/>
      <x:c r="G22" s="4"/>
      <x:c r="H22" s="4"/>
      <x:c r="I22" s="5"/>
      <x:c r="J22" s="5"/>
      <x:c r="K22" s="5"/>
      <x:c r="L22" s="5"/>
      <x:c r="M22" s="5"/>
      <x:c r="N22" s="5"/>
      <x:c r="O22" s="5"/>
      <x:c r="P22" s="5"/>
      <x:c r="Q22" s="5"/>
    </x:row>
    <x:row r="23" ht="21">
      <x:c r="A23" s="4"/>
      <x:c r="B23" s="4"/>
      <x:c r="C23" s="4"/>
      <x:c r="D23" s="4"/>
      <x:c r="E23" s="4"/>
      <x:c r="F23" s="4"/>
      <x:c r="G23" s="4"/>
      <x:c r="H23" s="4"/>
      <x:c r="I23" s="5"/>
      <x:c r="J23" s="5"/>
      <x:c r="K23" s="5"/>
      <x:c r="L23" s="5"/>
      <x:c r="M23" s="5"/>
      <x:c r="N23" s="5"/>
      <x:c r="O23" s="5"/>
      <x:c r="P23" s="5"/>
      <x:c r="Q23" s="5"/>
    </x:row>
    <x:row r="24" ht="21">
      <x:c r="A24" s="4"/>
      <x:c r="B24" s="4"/>
      <x:c r="C24" s="4"/>
      <x:c r="D24" s="4"/>
      <x:c r="E24" s="4"/>
      <x:c r="F24" s="4"/>
      <x:c r="G24" s="4"/>
      <x:c r="H24" s="4"/>
      <x:c r="I24" s="5"/>
      <x:c r="J24" s="5"/>
      <x:c r="K24" s="5"/>
      <x:c r="L24" s="5"/>
      <x:c r="M24" s="5"/>
      <x:c r="N24" s="5"/>
      <x:c r="O24" s="5"/>
      <x:c r="P24" s="5"/>
      <x:c r="Q24" s="5"/>
    </x:row>
    <x:row r="25" ht="21">
      <x:c r="A25" s="4"/>
      <x:c r="B25" s="4"/>
      <x:c r="C25" s="4"/>
      <x:c r="D25" s="4"/>
      <x:c r="E25" s="4"/>
      <x:c r="F25" s="4"/>
      <x:c r="G25" s="4"/>
      <x:c r="H25" s="4"/>
      <x:c r="I25" s="5"/>
      <x:c r="J25" s="5"/>
      <x:c r="K25" s="5"/>
      <x:c r="L25" s="5"/>
      <x:c r="M25" s="5"/>
      <x:c r="N25" s="5"/>
      <x:c r="O25" s="5"/>
      <x:c r="P25" s="5"/>
      <x:c r="Q25" s="5"/>
    </x:row>
    <x:row r="26" ht="21">
      <x:c r="A26" s="4"/>
      <x:c r="B26" s="4"/>
      <x:c r="C26" s="4"/>
      <x:c r="D26" s="4"/>
      <x:c r="E26" s="4"/>
      <x:c r="F26" s="4"/>
      <x:c r="G26" s="4"/>
      <x:c r="H26" s="4"/>
      <x:c r="I26" s="5"/>
      <x:c r="J26" s="5"/>
      <x:c r="K26" s="5"/>
      <x:c r="L26" s="5"/>
      <x:c r="M26" s="5"/>
      <x:c r="N26" s="5"/>
      <x:c r="O26" s="5"/>
      <x:c r="P26" s="5"/>
      <x:c r="Q26" s="5"/>
    </x:row>
    <x:row r="27" ht="21">
      <x:c r="A27" s="6"/>
      <x:c r="B27" s="6"/>
      <x:c r="C27" s="6"/>
      <x:c r="D27" s="6"/>
      <x:c r="E27" s="6"/>
      <x:c r="F27" s="6"/>
      <x:c r="G27" s="6"/>
      <x:c r="H27" s="6"/>
      <x:c r="I27" s="5" t="n">
        <x:f>SUM(B27*C27)/90000</x:f>
        <x:v>0</x:v>
      </x:c>
      <x:c r="J27" s="6" t="s">
        <x:v>21</x:v>
      </x:c>
      <x:c r="K27" s="7" t="n">
        <x:f>SUM(K4:K26)</x:f>
        <x:v>0</x:v>
      </x:c>
      <x:c r="L27" s="7" t="n">
        <x:f>SUM(K27*1.35)</x:f>
        <x:v>0</x:v>
      </x:c>
      <x:c r="M27" s="7"/>
      <x:c r="N27" s="7" t="n">
        <x:f>SUM(M27*1.25)</x:f>
        <x:v>0</x:v>
      </x:c>
      <x:c r="O27" s="7"/>
      <x:c r="P27" s="7"/>
      <x:c r="Q27" s="7"/>
    </x:row>
  </x:sheetData>
  <x:mergeCells>
    <x:mergeCell ref="C1:F1"/>
    <x:mergeCell ref="A2:F2"/>
    <x:mergeCell ref="B3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30.5" customWidth="1"/>
    <x:col min="2" max="2" width="5.5" customWidth="1"/>
    <x:col min="3" max="3" width="9.25" customWidth="1"/>
    <x:col min="4" max="4" width="5.5" customWidth="1"/>
    <x:col min="6" max="8" width="9.5" customWidth="1"/>
    <x:col min="9" max="9" width="17.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2400</x:v>
      </x:c>
      <x:c r="D2" s="13">
        <x:v>3</x:v>
      </x:c>
      <x:c r="E2" s="16">
        <x:v>480</x:v>
      </x:c>
      <x:c r="F2" s="14">
        <x:v>24</x:v>
      </x:c>
      <x:c r="G2" s="14">
        <x:v>350</x:v>
      </x:c>
      <x:c r="H2" s="14"/>
    </x:row>
    <x:row r="3" ht="21">
      <x:c r="A3" s="15" t="s">
        <x:v>14</x:v>
      </x:c>
      <x:c r="B3" s="11" t="s">
        <x:v>4</x:v>
      </x:c>
      <x:c r="C3" s="11" t="s">
        <x:v>6</x:v>
      </x:c>
      <x:c r="D3" s="11"/>
      <x:c r="E3" s="11"/>
      <x:c r="I3" s="17" t="s">
        <x:v>2</x:v>
      </x:c>
      <x:c r="J3" s="38" t="s">
        <x:v>3</x:v>
      </x:c>
      <x:c r="K3" s="38"/>
      <x:c r="L3" s="17" t="s">
        <x:v>4</x:v>
      </x:c>
      <x:c r="M3" s="17" t="s">
        <x:v>5</x:v>
      </x:c>
      <x:c r="N3" s="17" t="s">
        <x:v>6</x:v>
      </x:c>
      <x:c r="P3" s="21" t="s">
        <x:v>28</x:v>
      </x:c>
      <x:c r="Q3" s="21" t="s">
        <x:v>6</x:v>
      </x:c>
    </x:row>
    <x:row r="4">
      <x:c r="A4" s="15" t="s">
        <x:v>15</x:v>
      </x:c>
      <x:c r="B4" s="11">
        <x:v>18</x:v>
      </x:c>
      <x:c r="C4" s="11">
        <x:v>2</x:v>
      </x:c>
      <x:c r="D4" s="11"/>
      <x:c r="E4" s="11"/>
      <x:c r="I4" t="str">
        <x:f t="shared" ref="I4:I9" si="0">A4</x:f>
        <x:v>側板</x:v>
      </x:c>
      <x:c r="J4" t="n">
        <x:f>B2</x:f>
        <x:v>554</x:v>
      </x:c>
      <x:c r="K4" t="n">
        <x:f>C2</x:f>
        <x:v>2400</x:v>
      </x:c>
      <x:c r="L4" t="n">
        <x:f t="shared" ref="L4:L11" si="1">B4</x:f>
        <x:v>18</x:v>
      </x:c>
      <x:c r="N4" t="n">
        <x:f>C4*$D$2</x:f>
        <x:v>6</x:v>
      </x:c>
      <x:c r="P4" t="s">
        <x:v>29</x:v>
      </x:c>
      <x:c r="Q4" t="n">
        <x:f>N4*2</x:f>
        <x:v>12</x:v>
      </x:c>
    </x:row>
    <x:row r="5">
      <x:c r="A5" s="15" t="s">
        <x:v>16</x:v>
      </x:c>
      <x:c r="B5" s="11">
        <x:v>18</x:v>
      </x:c>
      <x:c r="C5" s="11">
        <x:v>2</x:v>
      </x:c>
      <x:c r="D5" s="11"/>
      <x:c r="E5" s="11"/>
      <x:c r="I5" t="str">
        <x:f t="shared" si="0"/>
        <x:v>頂底板</x:v>
      </x:c>
      <x:c r="J5" t="n">
        <x:f>B2</x:f>
        <x:v>554</x:v>
      </x:c>
      <x:c r="K5" t="n">
        <x:f>A2-36</x:f>
        <x:v>764</x:v>
      </x:c>
      <x:c r="L5">
        <x:f t="shared" si="1"/>
        <x:v>18</x:v>
      </x:c>
      <x:c r="N5" t="n">
        <x:f t="shared" ref="N5:N28" si="2">C5*$D$2</x:f>
        <x:v>6</x:v>
      </x:c>
      <x:c r="P5" t="s">
        <x:v>30</x:v>
      </x:c>
      <x:c r="Q5" t="n">
        <x:f>D2*4</x:f>
        <x:v>12</x:v>
      </x:c>
    </x:row>
    <x:row r="6">
      <x:c r="A6" s="15" t="s">
        <x:v>17</x:v>
      </x:c>
      <x:c r="B6" s="11">
        <x:v>18</x:v>
      </x:c>
      <x:c r="C6" s="13">
        <x:v>4</x:v>
      </x:c>
      <x:c r="D6" s="11"/>
      <x:c r="E6" s="11"/>
      <x:c r="I6" t="str">
        <x:f t="shared" si="0"/>
        <x:v>固隔</x:v>
      </x:c>
      <x:c r="J6" t="n">
        <x:f>B2-29</x:f>
        <x:v>525</x:v>
      </x:c>
      <x:c r="K6" t="n">
        <x:f>A2-36</x:f>
        <x:v>764</x:v>
      </x:c>
      <x:c r="L6">
        <x:f t="shared" si="1"/>
        <x:v>18</x:v>
      </x:c>
      <x:c r="N6">
        <x:f t="shared" si="2"/>
        <x:v>12</x:v>
      </x:c>
      <x:c r="P6" t="s">
        <x:v>31</x:v>
      </x:c>
      <x:c r="Q6" t="n">
        <x:f>N6*4</x:f>
        <x:v>48</x:v>
      </x:c>
    </x:row>
    <x:row r="7">
      <x:c r="A7" s="15" t="s">
        <x:v>18</x:v>
      </x:c>
      <x:c r="B7" s="11">
        <x:v>18</x:v>
      </x:c>
      <x:c r="C7" s="13">
        <x:v>4</x:v>
      </x:c>
      <x:c r="D7" s="11"/>
      <x:c r="E7" s="11"/>
      <x:c r="I7" t="str">
        <x:f t="shared" si="0"/>
        <x:v>活隔</x:v>
      </x:c>
      <x:c r="J7" t="n">
        <x:f>B2-44</x:f>
        <x:v>510</x:v>
      </x:c>
      <x:c r="K7" t="n">
        <x:f>A2-37</x:f>
        <x:v>763</x:v>
      </x:c>
      <x:c r="L7">
        <x:f t="shared" si="1"/>
        <x:v>18</x:v>
      </x:c>
      <x:c r="N7">
        <x:f t="shared" si="2"/>
        <x:v>12</x:v>
      </x:c>
      <x:c r="P7" t="s">
        <x:v>32</x:v>
      </x:c>
      <x:c r="Q7" t="n">
        <x:f>N7*4</x:f>
        <x:v>48</x:v>
      </x:c>
    </x:row>
    <x:row r="8">
      <x:c r="A8" s="15" t="s">
        <x:v>33</x:v>
      </x:c>
      <x:c r="B8" s="11">
        <x:v>8</x:v>
      </x:c>
      <x:c r="C8" s="11">
        <x:v>1</x:v>
      </x:c>
      <x:c r="D8" s="11"/>
      <x:c r="E8" s="11"/>
      <x:c r="I8" t="str">
        <x:f t="shared" si="0"/>
        <x:v>背板</x:v>
      </x:c>
      <x:c r="J8" t="n">
        <x:f>A2-26</x:f>
        <x:v>774</x:v>
      </x:c>
      <x:c r="K8" t="n">
        <x:f>C2-26</x:f>
        <x:v>2374</x:v>
      </x:c>
      <x:c r="L8">
        <x:f t="shared" si="1"/>
        <x:v>8</x:v>
      </x:c>
      <x:c r="N8">
        <x:f t="shared" si="2"/>
        <x:v>3</x:v>
      </x:c>
    </x:row>
    <x:row r="9">
      <x:c r="A9" s="15" t="s">
        <x:v>34</x:v>
      </x:c>
      <x:c r="B9" s="11">
        <x:v>18</x:v>
      </x:c>
      <x:c r="C9" s="11">
        <x:v>1</x:v>
      </x:c>
      <x:c r="D9" s="11"/>
      <x:c r="E9" s="11"/>
      <x:c r="I9" t="str">
        <x:f t="shared" si="0"/>
        <x:v>背條</x:v>
      </x:c>
      <x:c r="J9" t="n">
        <x:f>100</x:f>
        <x:v>100</x:v>
      </x:c>
      <x:c r="K9" t="n">
        <x:f>A2-36</x:f>
        <x:v>764</x:v>
      </x:c>
      <x:c r="L9">
        <x:f t="shared" si="1"/>
        <x:v>18</x:v>
      </x:c>
      <x:c r="N9">
        <x:f t="shared" si="2"/>
        <x:v>3</x:v>
      </x:c>
    </x:row>
    <x:row r="10">
      <x:c r="A10" s="15" t="s">
        <x:v>35</x:v>
      </x:c>
      <x:c r="B10" s="11">
        <x:v>18</x:v>
      </x:c>
      <x:c r="C10" s="13">
        <x:v>2</x:v>
      </x:c>
      <x:c r="I10" t="s">
        <x:v>35</x:v>
      </x:c>
      <x:c r="J10" t="n">
        <x:f>(A2/C10)-3</x:f>
        <x:v>397</x:v>
      </x:c>
      <x:c r="K10" t="n">
        <x:f>(C2-E2)-3</x:f>
        <x:v>1917</x:v>
      </x:c>
      <x:c r="L10">
        <x:f t="shared" si="1"/>
        <x:v>18</x:v>
      </x:c>
      <x:c r="N10">
        <x:f t="shared" si="2"/>
        <x:v>6</x:v>
      </x:c>
      <x:c r="P10" t="s">
        <x:v>36</x:v>
      </x:c>
      <x:c r="Q10" t="n">
        <x:f>IF(K10&lt;960,"2",IF(K10&lt;1600,"3",IF(K10&lt;2240,"4",IF(K10&gt;2241,"5"))))*N10</x:f>
        <x:v>24</x:v>
      </x:c>
    </x:row>
    <x:row r="11">
      <x:c r="A11" s="15" t="s">
        <x:v>37</x:v>
      </x:c>
      <x:c r="B11" s="11">
        <x:v>18</x:v>
      </x:c>
      <x:c r="C11" s="13">
        <x:v>2</x:v>
      </x:c>
      <x:c r="I11" t="str">
        <x:f>A11</x:f>
        <x:v>門板(上)</x:v>
      </x:c>
      <x:c r="J11" t="n">
        <x:f>(A2/C11)-3</x:f>
        <x:v>397</x:v>
      </x:c>
      <x:c r="K11" t="n">
        <x:f>E2-3</x:f>
        <x:v>477</x:v>
      </x:c>
      <x:c r="L11">
        <x:f t="shared" si="1"/>
        <x:v>18</x:v>
      </x:c>
      <x:c r="N11">
        <x:f t="shared" si="2"/>
        <x:v>6</x:v>
      </x:c>
      <x:c r="P11" t="s">
        <x:v>36</x:v>
      </x:c>
      <x:c r="Q11" t="n">
        <x:f>IF(K11&lt;960,"2",IF(K11&lt;1600,"3",IF(K11&lt;2240,"4",IF(K11&gt;2241,"5"))))*N11</x:f>
        <x:v>12</x:v>
      </x:c>
    </x:row>
    <x:row r="12">
      <x:c r="A12" s="15"/>
      <x:c r="B12" s="11"/>
      <x:c r="C12" s="16"/>
      <x:c r="N12">
        <x:f t="shared" si="2"/>
        <x:v>0</x:v>
      </x:c>
    </x:row>
    <x:row r="13">
      <x:c r="A13" s="15"/>
      <x:c r="B13" s="11"/>
      <x:c r="C13" s="16"/>
      <x:c r="N13">
        <x:f t="shared" si="2"/>
        <x:v>0</x:v>
      </x:c>
    </x:row>
    <x:row r="14" ht="21">
      <x:c r="A14" s="15" t="s">
        <x:v>38</x:v>
      </x:c>
      <x:c r="B14" s="11"/>
      <x:c r="I14" s="19" t="s">
        <x:v>2</x:v>
      </x:c>
      <x:c r="J14" s="38" t="s">
        <x:v>3</x:v>
      </x:c>
      <x:c r="K14" s="38"/>
      <x:c r="L14" s="19" t="s">
        <x:v>4</x:v>
      </x:c>
      <x:c r="M14" s="19" t="s">
        <x:v>5</x:v>
      </x:c>
      <x:c r="N14" s="19" t="s">
        <x:v>6</x:v>
      </x:c>
      <x:c r="P14" s="21" t="s">
        <x:v>28</x:v>
      </x:c>
      <x:c r="Q14" s="21" t="s">
        <x:v>6</x:v>
      </x:c>
    </x:row>
    <x:row r="15">
      <x:c r="A15" s="33" t="s">
        <x:v>39</x:v>
      </x:c>
      <x:c r="B15" s="34">
        <x:v>18</x:v>
      </x:c>
      <x:c r="C15" s="31">
        <x:v>2</x:v>
      </x:c>
      <x:c r="I15" s="35" t="str">
        <x:f t="shared" ref="I15:I21" si="3">A15</x:f>
        <x:v>門板(斜)</x:v>
      </x:c>
      <x:c r="J15" s="35" t="n">
        <x:f>(A2-F2)/C15</x:f>
        <x:v>388</x:v>
      </x:c>
      <x:c r="K15" s="35" t="n">
        <x:f>C2-3</x:f>
        <x:v>2397</x:v>
      </x:c>
      <x:c r="L15" t="n">
        <x:f>B15</x:f>
        <x:v>18</x:v>
      </x:c>
      <x:c r="N15">
        <x:f t="shared" si="2"/>
        <x:v>6</x:v>
      </x:c>
      <x:c r="P15" t="s">
        <x:v>36</x:v>
      </x:c>
      <x:c r="Q15" t="n">
        <x:f>IF(K15&lt;960,"2",IF(K15&lt;1600,"3",IF(K15&lt;2240,"4",IF(K15&gt;2241,"5"))))*N15</x:f>
        <x:v>30</x:v>
      </x:c>
    </x:row>
    <x:row r="16">
      <x:c r="A16" s="28" t="s">
        <x:v>40</x:v>
      </x:c>
      <x:c r="B16" s="29">
        <x:v>18</x:v>
      </x:c>
      <x:c r="C16" s="30">
        <x:v>2</x:v>
      </x:c>
      <x:c r="I16" s="30" t="str">
        <x:f t="shared" si="3"/>
        <x:v>門板斜(上)</x:v>
      </x:c>
      <x:c r="J16" s="30" t="n">
        <x:f>(A2/C16)-3</x:f>
        <x:v>397</x:v>
      </x:c>
      <x:c r="K16" s="30" t="n">
        <x:f>E2+9</x:f>
        <x:v>489</x:v>
      </x:c>
      <x:c r="L16" t="n">
        <x:f>B15</x:f>
        <x:v>18</x:v>
      </x:c>
      <x:c r="N16">
        <x:f t="shared" si="2"/>
        <x:v>6</x:v>
      </x:c>
      <x:c r="P16" t="s">
        <x:v>36</x:v>
      </x:c>
      <x:c r="Q16" t="n">
        <x:f>IF(K16&lt;960,"2",IF(K16&lt;1600,"3",IF(K16&lt;2240,"4",IF(K16&gt;2241,"5"))))*N16</x:f>
        <x:v>12</x:v>
      </x:c>
    </x:row>
    <x:row r="17">
      <x:c r="A17" s="28" t="s">
        <x:v>41</x:v>
      </x:c>
      <x:c r="B17" s="29">
        <x:v>18</x:v>
      </x:c>
      <x:c r="C17" s="30">
        <x:v>2</x:v>
      </x:c>
      <x:c r="I17" s="30" t="str">
        <x:f t="shared" si="3"/>
        <x:v>門板斜(下)</x:v>
      </x:c>
      <x:c r="J17" s="30" t="n">
        <x:f>(A2-F2)/C17</x:f>
        <x:v>388</x:v>
      </x:c>
      <x:c r="K17" s="30" t="n">
        <x:f>C2-E2-33</x:f>
        <x:v>1887</x:v>
      </x:c>
      <x:c r="L17" t="n">
        <x:f>B17</x:f>
        <x:v>18</x:v>
      </x:c>
      <x:c r="N17">
        <x:f t="shared" si="2"/>
        <x:v>6</x:v>
      </x:c>
      <x:c r="P17" t="s">
        <x:v>36</x:v>
      </x:c>
      <x:c r="Q17" t="n">
        <x:f>IF(K17&lt;960,"2",IF(K17&lt;1600,"3",IF(K17&lt;2240,"4",IF(K17&gt;2241,"5"))))*N17</x:f>
        <x:v>24</x:v>
      </x:c>
    </x:row>
    <x:row r="18">
      <x:c r="A18" s="18" t="s">
        <x:v>42</x:v>
      </x:c>
      <x:c r="B18" s="13">
        <x:v>18</x:v>
      </x:c>
      <x:c r="C18" s="18">
        <x:v>1</x:v>
      </x:c>
      <x:c r="I18" s="18" t="str">
        <x:f t="shared" si="3"/>
        <x:v>內退固隔(退19)</x:v>
      </x:c>
      <x:c r="J18" s="18" t="n">
        <x:f>A2-36</x:f>
        <x:v>764</x:v>
      </x:c>
      <x:c r="K18" s="18" t="n">
        <x:f>B2-48</x:f>
        <x:v>506</x:v>
      </x:c>
      <x:c r="L18" t="n">
        <x:f>B18</x:f>
        <x:v>18</x:v>
      </x:c>
      <x:c r="N18">
        <x:f t="shared" si="2"/>
        <x:v>3</x:v>
      </x:c>
      <x:c r="P18" t="s">
        <x:v>31</x:v>
      </x:c>
      <x:c r="Q18" t="n">
        <x:f>N18*4</x:f>
        <x:v>12</x:v>
      </x:c>
    </x:row>
    <x:row r="19">
      <x:c r="A19" s="18" t="s">
        <x:v>43</x:v>
      </x:c>
      <x:c r="B19" s="13">
        <x:v>18</x:v>
      </x:c>
      <x:c r="C19" s="18">
        <x:v>2</x:v>
      </x:c>
      <x:c r="I19" s="18" t="str">
        <x:f t="shared" si="3"/>
        <x:v>橫擋板</x:v>
      </x:c>
      <x:c r="J19" s="18" t="n">
        <x:f>60</x:f>
        <x:v>60</x:v>
      </x:c>
      <x:c r="K19" s="18" t="n">
        <x:f>A2-36</x:f>
        <x:v>764</x:v>
      </x:c>
      <x:c r="L19" t="n">
        <x:f>B19</x:f>
        <x:v>18</x:v>
      </x:c>
      <x:c r="N19">
        <x:f t="shared" si="2"/>
        <x:v>6</x:v>
      </x:c>
      <x:c r="P19" t="s">
        <x:v>30</x:v>
      </x:c>
      <x:c r="Q19" t="n">
        <x:f>N23</x:f>
        <x:v>0</x:v>
      </x:c>
    </x:row>
    <x:row r="20">
      <x:c r="A20" s="31" t="s">
        <x:v>44</x:v>
      </x:c>
      <x:c r="B20" s="32">
        <x:v>8</x:v>
      </x:c>
      <x:c r="C20" s="31">
        <x:v>1</x:v>
      </x:c>
      <x:c r="I20" s="31" t="str">
        <x:f t="shared" si="3"/>
        <x:v>立擋板(斜)</x:v>
      </x:c>
      <x:c r="J20" s="31" t="n">
        <x:f>70</x:f>
        <x:v>70</x:v>
      </x:c>
      <x:c r="K20" s="31" t="n">
        <x:f>C2-41</x:f>
        <x:v>2359</x:v>
      </x:c>
      <x:c r="L20" t="n">
        <x:f>B20</x:f>
        <x:v>8</x:v>
      </x:c>
      <x:c r="N20">
        <x:f t="shared" si="2"/>
        <x:v>3</x:v>
      </x:c>
      <x:c r="P20" t="s">
        <x:v>30</x:v>
      </x:c>
      <x:c r="Q20" t="n">
        <x:f>N24</x:f>
        <x:v>0</x:v>
      </x:c>
    </x:row>
    <x:row r="21">
      <x:c r="A21" s="30" t="s">
        <x:v>45</x:v>
      </x:c>
      <x:c r="B21" s="29">
        <x:v>8</x:v>
      </x:c>
      <x:c r="C21" s="30"/>
      <x:c r="I21" s="30" t="str">
        <x:f t="shared" si="3"/>
        <x:v>立擋板(下)</x:v>
      </x:c>
      <x:c r="J21" s="30" t="n">
        <x:f>70</x:f>
        <x:v>70</x:v>
      </x:c>
      <x:c r="K21" s="30" t="n">
        <x:f>C2-E2-74</x:f>
        <x:v>1846</x:v>
      </x:c>
      <x:c r="L21" t="n">
        <x:f>B21</x:f>
        <x:v>8</x:v>
      </x:c>
      <x:c r="N21">
        <x:f t="shared" si="2"/>
        <x:v>0</x:v>
      </x:c>
    </x:row>
    <x:row r="22">
      <x:c r="A22" s="30" t="s">
        <x:v>46</x:v>
      </x:c>
      <x:c r="B22" s="29">
        <x:v>18</x:v>
      </x:c>
      <x:c r="C22" s="30">
        <x:v>0</x:v>
      </x:c>
      <x:c r="I22" s="30" t="str">
        <x:f>A22</x:f>
        <x:v>內退固隔(退10)</x:v>
      </x:c>
      <x:c r="J22" s="28" t="n">
        <x:f>B2-39</x:f>
        <x:v>515</x:v>
      </x:c>
      <x:c r="K22" s="30" t="n">
        <x:f>A2-36</x:f>
        <x:v>764</x:v>
      </x:c>
      <x:c r="N22">
        <x:f t="shared" si="2"/>
        <x:v>0</x:v>
      </x:c>
      <x:c r="P22" t="s">
        <x:v>31</x:v>
      </x:c>
      <x:c r="Q22" t="n">
        <x:f>N22*4</x:f>
        <x:v>0</x:v>
      </x:c>
    </x:row>
    <x:row r="23">
      <x:c r="A23" t="s">
        <x:v>47</x:v>
      </x:c>
      <x:c r="B23" s="11">
        <x:v>18</x:v>
      </x:c>
      <x:c r="C23" s="18"/>
      <x:c r="I23" t="str">
        <x:f t="shared" ref="I23:I28" si="4">A23</x:f>
        <x:v>中立板到頂</x:v>
      </x:c>
      <x:c r="J23" t="n">
        <x:f>B2-29</x:f>
        <x:v>525</x:v>
      </x:c>
      <x:c r="K23" t="n">
        <x:f>C2-36</x:f>
        <x:v>2364</x:v>
      </x:c>
      <x:c r="L23" t="n">
        <x:f>B23</x:f>
        <x:v>18</x:v>
      </x:c>
      <x:c r="N23" t="n">
        <x:f>C23*$D$2</x:f>
        <x:v>0</x:v>
      </x:c>
      <x:c r="P23" t="s">
        <x:v>31</x:v>
      </x:c>
      <x:c r="Q23" t="n">
        <x:f>N23*4</x:f>
        <x:v>0</x:v>
      </x:c>
    </x:row>
    <x:row r="24">
      <x:c r="A24" t="s">
        <x:v>48</x:v>
      </x:c>
      <x:c r="B24" s="11">
        <x:v>18</x:v>
      </x:c>
      <x:c r="C24" s="18"/>
      <x:c r="I24" t="str">
        <x:f t="shared" si="4"/>
        <x:v>中立板到固隔</x:v>
      </x:c>
      <x:c r="J24" t="n">
        <x:f>B2-29</x:f>
        <x:v>525</x:v>
      </x:c>
      <x:c r="K24" t="n">
        <x:f>C2-E2-27</x:f>
        <x:v>1893</x:v>
      </x:c>
      <x:c r="L24" t="n">
        <x:f>B24</x:f>
        <x:v>18</x:v>
      </x:c>
      <x:c r="N24">
        <x:f t="shared" si="2"/>
        <x:v>0</x:v>
      </x:c>
      <x:c r="P24" t="s">
        <x:v>31</x:v>
      </x:c>
      <x:c r="Q24" t="n">
        <x:f>N24*4</x:f>
        <x:v>0</x:v>
      </x:c>
    </x:row>
    <x:row r="25">
      <x:c r="A25" t="s">
        <x:v>49</x:v>
      </x:c>
      <x:c r="B25" s="11">
        <x:v>18</x:v>
      </x:c>
      <x:c r="C25" s="18"/>
      <x:c r="I25" t="str">
        <x:f t="shared" si="4"/>
        <x:v>左固隔</x:v>
      </x:c>
      <x:c r="J25" t="n">
        <x:f>B2-29</x:f>
        <x:v>525</x:v>
      </x:c>
      <x:c r="K25" t="n">
        <x:f>G2-27</x:f>
        <x:v>323</x:v>
      </x:c>
      <x:c r="L25" t="n">
        <x:f>B25</x:f>
        <x:v>18</x:v>
      </x:c>
      <x:c r="N25">
        <x:f t="shared" si="2"/>
        <x:v>0</x:v>
      </x:c>
      <x:c r="P25" t="s">
        <x:v>31</x:v>
      </x:c>
      <x:c r="Q25" t="n">
        <x:f>N25*4</x:f>
        <x:v>0</x:v>
      </x:c>
    </x:row>
    <x:row r="26">
      <x:c r="A26" t="s">
        <x:v>50</x:v>
      </x:c>
      <x:c r="B26" s="11">
        <x:v>18</x:v>
      </x:c>
      <x:c r="C26" s="18"/>
      <x:c r="I26" t="str">
        <x:f t="shared" si="4"/>
        <x:v>右固隔</x:v>
      </x:c>
      <x:c r="J26" t="n">
        <x:f>B2-29</x:f>
        <x:v>525</x:v>
      </x:c>
      <x:c r="K26" t="n">
        <x:f>A2-G2-27</x:f>
        <x:v>423</x:v>
      </x:c>
      <x:c r="L26" t="n">
        <x:f>B28</x:f>
        <x:v>18</x:v>
      </x:c>
      <x:c r="N26">
        <x:f t="shared" si="2"/>
        <x:v>0</x:v>
      </x:c>
      <x:c r="P26" t="s">
        <x:v>31</x:v>
      </x:c>
      <x:c r="Q26" t="n">
        <x:f>N26*4</x:f>
        <x:v>0</x:v>
      </x:c>
    </x:row>
    <x:row r="27">
      <x:c r="A27" t="s">
        <x:v>51</x:v>
      </x:c>
      <x:c r="B27" s="11">
        <x:v>18</x:v>
      </x:c>
      <x:c r="C27" s="18"/>
      <x:c r="I27" t="str">
        <x:f t="shared" si="4"/>
        <x:v>左活隔</x:v>
      </x:c>
      <x:c r="J27" t="n">
        <x:f>B2-44</x:f>
        <x:v>510</x:v>
      </x:c>
      <x:c r="K27" t="n">
        <x:f>G2-29</x:f>
        <x:v>321</x:v>
      </x:c>
      <x:c r="L27" t="n">
        <x:f>B27</x:f>
        <x:v>18</x:v>
      </x:c>
      <x:c r="N27">
        <x:f t="shared" si="2"/>
        <x:v>0</x:v>
      </x:c>
    </x:row>
    <x:row r="28">
      <x:c r="A28" t="s">
        <x:v>52</x:v>
      </x:c>
      <x:c r="B28" s="11">
        <x:v>18</x:v>
      </x:c>
      <x:c r="C28" s="18"/>
      <x:c r="I28" t="str">
        <x:f t="shared" si="4"/>
        <x:v>右活隔</x:v>
      </x:c>
      <x:c r="J28" t="n">
        <x:f>B2-44</x:f>
        <x:v>510</x:v>
      </x:c>
      <x:c r="K28" t="n">
        <x:f>A2-G2-29</x:f>
        <x:v>421</x:v>
      </x:c>
      <x:c r="N28">
        <x:f t="shared" si="2"/>
        <x:v>0</x:v>
      </x:c>
    </x:row>
    <x:row r="29">
      <x:c r="B29" s="11" t="s">
        <x:v>22</x:v>
      </x:c>
      <x:c r="C29" t="s">
        <x:v>23</x:v>
      </x:c>
      <x:c r="D29" t="s">
        <x:v>24</x:v>
      </x:c>
      <x:c r="E29" t="s">
        <x:v>53</x:v>
      </x:c>
    </x:row>
    <x:row r="30">
      <x:c r="B30" s="20">
        <x:v>900</x:v>
      </x:c>
      <x:c r="C30" s="25">
        <x:v>554</x:v>
      </x:c>
      <x:c r="D30" s="25">
        <x:v>2400</x:v>
      </x:c>
      <x:c r="E30" s="20">
        <x:v>3</x:v>
      </x:c>
    </x:row>
    <x:row r="31" ht="21">
      <x:c r="A31" t="s">
        <x:v>54</x:v>
      </x:c>
      <x:c r="B31" t="s">
        <x:v>4</x:v>
      </x:c>
      <x:c r="E31" t="s">
        <x:v>6</x:v>
      </x:c>
      <x:c r="I31" s="17" t="s">
        <x:v>2</x:v>
      </x:c>
      <x:c r="J31" s="38" t="s">
        <x:v>3</x:v>
      </x:c>
      <x:c r="K31" s="38"/>
      <x:c r="L31" s="17" t="s">
        <x:v>4</x:v>
      </x:c>
      <x:c r="M31" s="17" t="s">
        <x:v>5</x:v>
      </x:c>
      <x:c r="N31" s="17" t="s">
        <x:v>6</x:v>
      </x:c>
    </x:row>
    <x:row r="32">
      <x:c r="A32" t="s">
        <x:v>55</x:v>
      </x:c>
      <x:c r="B32" s="11">
        <x:v>18</x:v>
      </x:c>
      <x:c r="D32" s="18">
        <x:v>2560</x:v>
      </x:c>
      <x:c r="E32">
        <x:v>1</x:v>
      </x:c>
      <x:c r="I32" t="str">
        <x:f>A32</x:f>
        <x:v>側封板</x:v>
      </x:c>
      <x:c r="J32" t="n">
        <x:f>C30+96</x:f>
        <x:v>650</x:v>
      </x:c>
      <x:c r="K32" t="n">
        <x:f>D32</x:f>
        <x:v>2560</x:v>
      </x:c>
      <x:c r="L32" t="n">
        <x:f>B32</x:f>
        <x:v>18</x:v>
      </x:c>
      <x:c r="N32" t="n">
        <x:f>E32*$D$2</x:f>
        <x:v>3</x:v>
      </x:c>
    </x:row>
    <x:row r="33">
      <x:c r="A33" t="s">
        <x:v>56</x:v>
      </x:c>
      <x:c r="B33" s="11">
        <x:v>18</x:v>
      </x:c>
      <x:c r="D33" s="18">
        <x:v>2400</x:v>
      </x:c>
      <x:c r="I33" t="str">
        <x:f>A33</x:f>
        <x:v>修邊側封板</x:v>
      </x:c>
      <x:c r="J33" t="n">
        <x:f>170</x:f>
        <x:v>170</x:v>
      </x:c>
      <x:c r="K33" t="n">
        <x:f>D33</x:f>
        <x:v>2400</x:v>
      </x:c>
      <x:c r="L33" t="n">
        <x:f>B33</x:f>
        <x:v>18</x:v>
      </x:c>
      <x:c r="N33" t="n">
        <x:f t="shared" ref="N33:N40" si="5">E33*$D$2</x:f>
        <x:v>0</x:v>
      </x:c>
      <x:c r="P33" t="s">
        <x:v>57</x:v>
      </x:c>
      <x:c r="Q33" t="n">
        <x:f>B30*E30</x:f>
        <x:v>2700</x:v>
      </x:c>
    </x:row>
    <x:row r="34">
      <x:c r="A34" t="s">
        <x:v>58</x:v>
      </x:c>
      <x:c r="B34" s="11">
        <x:v>18</x:v>
      </x:c>
      <x:c r="E34">
        <x:v>2</x:v>
      </x:c>
      <x:c r="I34" t="str">
        <x:f>A34</x:f>
        <x:v>上下軌道板</x:v>
      </x:c>
      <x:c r="J34" t="n">
        <x:f>170</x:f>
        <x:v>170</x:v>
      </x:c>
      <x:c r="K34" t="n">
        <x:f>B30*E30</x:f>
        <x:v>2700</x:v>
      </x:c>
      <x:c r="L34" t="n">
        <x:f>B34</x:f>
        <x:v>18</x:v>
      </x:c>
      <x:c r="N34">
        <x:f t="shared" si="5"/>
        <x:v>6</x:v>
      </x:c>
      <x:c r="P34" t="s">
        <x:v>59</x:v>
      </x:c>
      <x:c r="Q34" t="n">
        <x:f>B30*E30</x:f>
        <x:v>2700</x:v>
      </x:c>
    </x:row>
    <x:row r="35">
      <x:c r="A35" t="s">
        <x:v>60</x:v>
      </x:c>
      <x:c r="B35" s="11">
        <x:v>18</x:v>
      </x:c>
      <x:c r="I35" t="str">
        <x:f>A35</x:f>
        <x:v>推拉門片(2)</x:v>
      </x:c>
      <x:c r="J35" t="n">
        <x:f>B30-11</x:f>
        <x:v>889</x:v>
      </x:c>
      <x:c r="K35" t="n">
        <x:f>D30-40</x:f>
        <x:v>2360</x:v>
      </x:c>
      <x:c r="L35" t="n">
        <x:f>B35</x:f>
        <x:v>18</x:v>
      </x:c>
      <x:c r="N35">
        <x:f t="shared" si="5"/>
        <x:v>0</x:v>
      </x:c>
      <x:c r="P35" t="s">
        <x:v>61</x:v>
      </x:c>
      <x:c r="Q35" t="n">
        <x:f>E30</x:f>
        <x:v>3</x:v>
      </x:c>
    </x:row>
    <x:row r="36">
      <x:c r="A36" t="s">
        <x:v>62</x:v>
      </x:c>
      <x:c r="B36" s="11">
        <x:v>18</x:v>
      </x:c>
      <x:c r="E36">
        <x:v>3</x:v>
      </x:c>
      <x:c r="I36" t="str">
        <x:f>A36</x:f>
        <x:v>推拉門片(3)</x:v>
      </x:c>
      <x:c r="J36" t="n">
        <x:f>B30-9</x:f>
        <x:v>891</x:v>
      </x:c>
      <x:c r="K36" t="n">
        <x:f>D30-40</x:f>
        <x:v>2360</x:v>
      </x:c>
      <x:c r="L36" t="n">
        <x:f>B36</x:f>
        <x:v>18</x:v>
      </x:c>
      <x:c r="N36">
        <x:f t="shared" si="5"/>
        <x:v>9</x:v>
      </x:c>
    </x:row>
    <x:row r="37">
      <x:c r="N37">
        <x:f t="shared" si="5"/>
        <x:v>0</x:v>
      </x:c>
    </x:row>
    <x:row r="38">
      <x:c r="N38">
        <x:f t="shared" si="5"/>
        <x:v>0</x:v>
      </x:c>
    </x:row>
    <x:row r="39">
      <x:c r="N39">
        <x:f t="shared" si="5"/>
        <x:v>0</x:v>
      </x:c>
    </x:row>
    <x:row r="40" ht="32.25">
      <x:c r="A40" s="27" t="s">
        <x:v>63</x:v>
      </x:c>
      <x:c r="N40">
        <x:f t="shared" si="5"/>
        <x:v>0</x:v>
      </x:c>
    </x:row>
    <x:row r="41">
      <x:c r="A41" s="11" t="s">
        <x:v>22</x:v>
      </x:c>
      <x:c r="B41" s="11" t="s">
        <x:v>23</x:v>
      </x:c>
      <x:c r="C41" s="11" t="s">
        <x:v>64</x:v>
      </x:c>
      <x:c r="D41" s="11" t="s">
        <x:v>6</x:v>
      </x:c>
      <x:c r="E41" s="11" t="s">
        <x:v>65</x:v>
      </x:c>
      <x:c r="F41" s="11" t="s">
        <x:v>66</x:v>
      </x:c>
      <x:c r="G41" s="11" t="s">
        <x:v>67</x:v>
      </x:c>
      <x:c r="H41" s="11" t="s">
        <x:v>68</x:v>
      </x:c>
    </x:row>
    <x:row r="42">
      <x:c r="A42" s="13">
        <x:v>1000</x:v>
      </x:c>
      <x:c r="B42" s="13">
        <x:v>400</x:v>
      </x:c>
      <x:c r="C42" s="20" t="n">
        <x:f>E42-29-(F42*G42)-(C43*D43)</x:f>
        <x:v>145</x:v>
      </x:c>
      <x:c r="D42" s="13">
        <x:v>1</x:v>
      </x:c>
      <x:c r="E42" s="13">
        <x:v>704</x:v>
      </x:c>
      <x:c r="F42" s="13">
        <x:v>2</x:v>
      </x:c>
      <x:c r="G42" s="13">
        <x:v>25</x:v>
      </x:c>
      <x:c r="H42" s="13">
        <x:v>1</x:v>
      </x:c>
    </x:row>
    <x:row r="43">
      <x:c r="A43" s="13">
        <x:v>1000</x:v>
      </x:c>
      <x:c r="B43" s="13">
        <x:v>400</x:v>
      </x:c>
      <x:c r="C43" s="11">
        <x:v>240</x:v>
      </x:c>
      <x:c r="D43" s="13">
        <x:v>2</x:v>
      </x:c>
      <x:c r="E43" s="11"/>
    </x:row>
    <x:row r="44" ht="21">
      <x:c r="A44" s="11"/>
      <x:c r="B44" s="11" t="s">
        <x:v>4</x:v>
      </x:c>
      <x:c r="C44" s="11" t="s">
        <x:v>24</x:v>
      </x:c>
      <x:c r="D44" s="11" t="s">
        <x:v>6</x:v>
      </x:c>
      <x:c r="E44" s="11"/>
      <x:c r="F44" s="11"/>
      <x:c r="G44" s="23"/>
      <x:c r="H44" s="22"/>
      <x:c r="I44" s="17" t="s">
        <x:v>2</x:v>
      </x:c>
      <x:c r="J44" s="38" t="s">
        <x:v>3</x:v>
      </x:c>
      <x:c r="K44" s="38"/>
      <x:c r="L44" s="17" t="s">
        <x:v>4</x:v>
      </x:c>
      <x:c r="M44" s="17" t="s">
        <x:v>5</x:v>
      </x:c>
      <x:c r="N44" s="17" t="s">
        <x:v>6</x:v>
      </x:c>
    </x:row>
    <x:row r="45">
      <x:c r="A45" s="12" t="s">
        <x:v>69</x:v>
      </x:c>
      <x:c r="B45" s="11">
        <x:v>25</x:v>
      </x:c>
      <x:c r="C45" s="11"/>
      <x:c r="D45" s="11">
        <x:v>4</x:v>
      </x:c>
      <x:c r="E45" s="11"/>
      <x:c r="I45" s="12" t="s">
        <x:v>69</x:v>
      </x:c>
      <x:c r="J45">
        <x:v>120</x:v>
      </x:c>
      <x:c r="K45" t="n">
        <x:f>E42-27</x:f>
        <x:v>677</x:v>
      </x:c>
      <x:c r="L45" t="n">
        <x:f t="shared" ref="L45:L51" si="6">B45</x:f>
        <x:v>25</x:v>
      </x:c>
      <x:c r="N45" t="n">
        <x:f>D45*$H$42</x:f>
        <x:v>4</x:v>
      </x:c>
    </x:row>
    <x:row r="46">
      <x:c r="A46" s="12" t="s">
        <x:v>70</x:v>
      </x:c>
      <x:c r="B46" s="11">
        <x:v>18</x:v>
      </x:c>
      <x:c r="C46" s="11">
        <x:v>100</x:v>
      </x:c>
      <x:c r="D46" s="11">
        <x:v>2</x:v>
      </x:c>
      <x:c r="E46" s="11"/>
      <x:c r="I46" s="12" t="s">
        <x:v>70</x:v>
      </x:c>
      <x:c r="J46" t="n">
        <x:f>B42</x:f>
        <x:v>400</x:v>
      </x:c>
      <x:c r="K46" t="n">
        <x:f>C46</x:f>
        <x:v>100</x:v>
      </x:c>
      <x:c r="L46">
        <x:f t="shared" si="6"/>
        <x:v>18</x:v>
      </x:c>
      <x:c r="N46" t="n">
        <x:f t="shared" ref="N46:N53" si="7">D46*$H$42</x:f>
        <x:v>2</x:v>
      </x:c>
      <x:c r="P46" t="s">
        <x:v>71</x:v>
      </x:c>
      <x:c r="Q46" t="n">
        <x:f>N45/2</x:f>
        <x:v>2</x:v>
      </x:c>
    </x:row>
    <x:row r="47">
      <x:c r="A47" s="12" t="s">
        <x:v>72</x:v>
      </x:c>
      <x:c r="B47" s="11">
        <x:v>18</x:v>
      </x:c>
      <x:c r="C47" s="11">
        <x:v>100</x:v>
      </x:c>
      <x:c r="D47" s="11">
        <x:v>2</x:v>
      </x:c>
      <x:c r="E47" s="11"/>
      <x:c r="I47" s="12" t="s">
        <x:v>72</x:v>
      </x:c>
      <x:c r="J47" t="n">
        <x:f>C47</x:f>
        <x:v>100</x:v>
      </x:c>
      <x:c r="K47" t="n">
        <x:f>A42-99-50</x:f>
        <x:v>851</x:v>
      </x:c>
      <x:c r="L47">
        <x:f t="shared" si="6"/>
        <x:v>18</x:v>
      </x:c>
      <x:c r="N47">
        <x:f t="shared" si="7"/>
        <x:v>2</x:v>
      </x:c>
      <x:c r="P47" t="s">
        <x:v>73</x:v>
      </x:c>
      <x:c r="Q47" t="n">
        <x:f>N47*4</x:f>
        <x:v>8</x:v>
      </x:c>
    </x:row>
    <x:row r="48">
      <x:c r="A48" s="12" t="s">
        <x:v>74</x:v>
      </x:c>
      <x:c r="B48" s="11">
        <x:v>8</x:v>
      </x:c>
      <x:c r="C48" s="11"/>
      <x:c r="D48" s="11">
        <x:v>1</x:v>
      </x:c>
      <x:c r="E48" s="11"/>
      <x:c r="I48" s="12" t="s">
        <x:v>74</x:v>
      </x:c>
      <x:c r="J48" t="n">
        <x:f>B42-26</x:f>
        <x:v>374</x:v>
      </x:c>
      <x:c r="K48" t="n">
        <x:f>K47+10</x:f>
        <x:v>861</x:v>
      </x:c>
      <x:c r="L48">
        <x:f t="shared" si="6"/>
        <x:v>8</x:v>
      </x:c>
      <x:c r="N48">
        <x:f t="shared" si="7"/>
        <x:v>1</x:v>
      </x:c>
    </x:row>
    <x:row r="49">
      <x:c r="A49" s="12" t="s">
        <x:v>75</x:v>
      </x:c>
      <x:c r="B49" s="11">
        <x:v>18</x:v>
      </x:c>
      <x:c r="C49" s="11"/>
      <x:c r="D49" s="11">
        <x:v>1</x:v>
      </x:c>
      <x:c r="E49" s="11"/>
      <x:c r="I49" s="12" t="s">
        <x:v>75</x:v>
      </x:c>
      <x:c r="J49" t="n">
        <x:f>A42-91</x:f>
        <x:v>909</x:v>
      </x:c>
      <x:c r="K49" t="n">
        <x:f>C42</x:f>
        <x:v>145</x:v>
      </x:c>
      <x:c r="L49">
        <x:f t="shared" si="6"/>
        <x:v>18</x:v>
      </x:c>
      <x:c r="N49">
        <x:f t="shared" si="7"/>
        <x:v>1</x:v>
      </x:c>
    </x:row>
    <x:row r="50">
      <x:c r="A50" s="12" t="s">
        <x:v>70</x:v>
      </x:c>
      <x:c r="B50" s="11">
        <x:v>18</x:v>
      </x:c>
      <x:c r="C50" s="11">
        <x:v>180</x:v>
      </x:c>
      <x:c r="D50" s="11">
        <x:v>2</x:v>
      </x:c>
      <x:c r="E50" s="11"/>
      <x:c r="I50" s="12" t="s">
        <x:v>70</x:v>
      </x:c>
      <x:c r="J50" t="n">
        <x:f>B43</x:f>
        <x:v>400</x:v>
      </x:c>
      <x:c r="K50" t="n">
        <x:f>C50</x:f>
        <x:v>180</x:v>
      </x:c>
      <x:c r="L50">
        <x:f t="shared" si="6"/>
        <x:v>18</x:v>
      </x:c>
      <x:c r="N50">
        <x:f t="shared" si="7"/>
        <x:v>2</x:v>
      </x:c>
      <x:c r="P50" t="s">
        <x:v>71</x:v>
      </x:c>
      <x:c r="Q50" t="n">
        <x:f>N50/2</x:f>
        <x:v>1</x:v>
      </x:c>
    </x:row>
    <x:row r="51">
      <x:c r="A51" s="12" t="s">
        <x:v>72</x:v>
      </x:c>
      <x:c r="B51" s="11">
        <x:v>18</x:v>
      </x:c>
      <x:c r="C51" s="11">
        <x:v>180</x:v>
      </x:c>
      <x:c r="D51" s="11">
        <x:v>2</x:v>
      </x:c>
      <x:c r="E51" s="11"/>
      <x:c r="G51" s="15"/>
      <x:c r="H51" s="15"/>
      <x:c r="I51" s="12" t="s">
        <x:v>72</x:v>
      </x:c>
      <x:c r="J51">
        <x:v>180</x:v>
      </x:c>
      <x:c r="K51" t="n">
        <x:f>A43-99-50</x:f>
        <x:v>851</x:v>
      </x:c>
      <x:c r="L51">
        <x:f t="shared" si="6"/>
        <x:v>18</x:v>
      </x:c>
      <x:c r="N51">
        <x:f t="shared" si="7"/>
        <x:v>2</x:v>
      </x:c>
      <x:c r="P51" t="s">
        <x:v>73</x:v>
      </x:c>
      <x:c r="Q51" t="n">
        <x:f>N51*4</x:f>
        <x:v>8</x:v>
      </x:c>
    </x:row>
    <x:row r="52">
      <x:c r="A52" s="12" t="s">
        <x:v>74</x:v>
      </x:c>
      <x:c r="B52" s="11">
        <x:v>8</x:v>
      </x:c>
      <x:c r="C52" s="11"/>
      <x:c r="D52" s="11">
        <x:v>1</x:v>
      </x:c>
      <x:c r="E52" s="11"/>
      <x:c r="I52" s="12" t="s">
        <x:v>74</x:v>
      </x:c>
      <x:c r="J52">
        <x:v>180</x:v>
      </x:c>
      <x:c r="K52" t="n">
        <x:f>K51+10</x:f>
        <x:v>861</x:v>
      </x:c>
      <x:c r="L52">
        <x:v>8</x:v>
      </x:c>
      <x:c r="N52">
        <x:f t="shared" si="7"/>
        <x:v>1</x:v>
      </x:c>
    </x:row>
    <x:row r="53">
      <x:c r="A53" s="12" t="s">
        <x:v>75</x:v>
      </x:c>
      <x:c r="B53" s="11">
        <x:v>18</x:v>
      </x:c>
      <x:c r="C53" s="11"/>
      <x:c r="D53" s="11">
        <x:v>1</x:v>
      </x:c>
      <x:c r="E53" s="11"/>
      <x:c r="I53" s="12" t="s">
        <x:v>75</x:v>
      </x:c>
      <x:c r="J53" t="n">
        <x:f>A43-91</x:f>
        <x:v>909</x:v>
      </x:c>
      <x:c r="K53" t="n">
        <x:f>C43</x:f>
        <x:v>240</x:v>
      </x:c>
      <x:c r="L53">
        <x:v>18</x:v>
      </x:c>
      <x:c r="N53">
        <x:f t="shared" si="7"/>
        <x:v>1</x:v>
      </x:c>
    </x:row>
    <x:row r="66">
      <x:c r="A66" s="12"/>
      <x:c r="B66" s="11"/>
      <x:c r="C66" s="11"/>
      <x:c r="D66" s="11"/>
      <x:c r="E66" s="11"/>
      <x:c r="I66" s="12"/>
    </x:row>
    <x:row r="67">
      <x:c r="A67" s="12"/>
      <x:c r="B67" s="11"/>
      <x:c r="C67" s="11"/>
      <x:c r="D67" s="11"/>
      <x:c r="E67" s="11"/>
      <x:c r="I67" s="12"/>
    </x:row>
    <x:row r="68">
      <x:c r="A68" s="12"/>
      <x:c r="B68" s="11"/>
      <x:c r="C68" s="11"/>
      <x:c r="D68" s="11"/>
      <x:c r="E68" s="11"/>
      <x:c r="I68" s="12"/>
    </x:row>
    <x:row r="69">
      <x:c r="A69" s="12"/>
      <x:c r="B69" s="11"/>
      <x:c r="C69" s="11"/>
      <x:c r="D69" s="11"/>
      <x:c r="E69" s="11"/>
      <x:c r="I69" s="12"/>
    </x:row>
    <x:row r="70">
      <x:c r="A70" s="12"/>
      <x:c r="B70" s="11"/>
      <x:c r="C70" s="11"/>
      <x:c r="D70" s="11"/>
      <x:c r="E70" s="11"/>
      <x:c r="I70" s="12"/>
    </x:row>
    <x:row r="71">
      <x:c r="A71" s="12"/>
      <x:c r="B71" s="11"/>
      <x:c r="C71" s="11"/>
      <x:c r="D71" s="11"/>
      <x:c r="E71" s="11"/>
      <x:c r="I71" s="12"/>
    </x:row>
    <x:row r="72">
      <x:c r="A72" s="12"/>
      <x:c r="B72" s="11"/>
      <x:c r="C72" s="11"/>
      <x:c r="D72" s="11"/>
      <x:c r="E72" s="11"/>
      <x:c r="I72" s="12"/>
    </x:row>
    <x:row r="73">
      <x:c r="A73" s="12"/>
      <x:c r="B73" s="11"/>
      <x:c r="C73" s="11"/>
      <x:c r="D73" s="11"/>
      <x:c r="E73" s="11"/>
      <x:c r="I73" s="12"/>
    </x:row>
  </x:sheetData>
  <x:mergeCells>
    <x:mergeCell ref="J31:K31"/>
    <x:mergeCell ref="J44:K44"/>
    <x:mergeCell ref="J3:K3"/>
    <x:mergeCell ref="J14:K14"/>
  </x:mergeCells>
  <x:dataValidations count="1">
    <x:dataValidation type="whole" operator="lessThanOrEqual" allowBlank="1" showInputMessage="1" showErrorMessage="1" sqref="J4:J7">
      <x:formula1>600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5.25" customWidth="1"/>
    <x:col min="2" max="2" width="5.5" customWidth="1"/>
    <x:col min="3" max="3" width="9.25" customWidth="1"/>
    <x:col min="4" max="4" width="5.5" customWidth="1"/>
    <x:col min="6" max="8" width="9.5" customWidth="1"/>
    <x:col min="9" max="9" width="13.87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1920</x:v>
      </x:c>
      <x:c r="D2" s="13">
        <x:v>1</x:v>
      </x:c>
      <x:c r="E2" s="16">
        <x:v>0</x:v>
      </x:c>
      <x:c r="F2" s="14">
        <x:v>24</x:v>
      </x:c>
      <x:c r="G2" s="14">
        <x:v>350</x:v>
      </x:c>
      <x:c r="H2" s="14"/>
    </x:row>
    <x:row r="3" ht="21">
      <x:c r="A3" s="15" t="s">
        <x:v>14</x:v>
      </x:c>
      <x:c r="B3" s="11" t="s">
        <x:v>4</x:v>
      </x:c>
      <x:c r="C3" s="11" t="s">
        <x:v>6</x:v>
      </x:c>
      <x:c r="D3" s="11"/>
      <x:c r="E3" s="11"/>
      <x:c r="I3" s="26" t="s">
        <x:v>2</x:v>
      </x:c>
      <x:c r="J3" s="38" t="s">
        <x:v>3</x:v>
      </x:c>
      <x:c r="K3" s="38"/>
      <x:c r="L3" s="26" t="s">
        <x:v>4</x:v>
      </x:c>
      <x:c r="M3" s="26" t="s">
        <x:v>5</x:v>
      </x:c>
      <x:c r="N3" s="26" t="s">
        <x:v>6</x:v>
      </x:c>
      <x:c r="P3" s="21" t="s">
        <x:v>28</x:v>
      </x:c>
      <x:c r="Q3" s="21" t="s">
        <x:v>6</x:v>
      </x:c>
    </x:row>
    <x:row r="4">
      <x:c r="A4" s="15" t="s">
        <x:v>15</x:v>
      </x:c>
      <x:c r="B4" s="11">
        <x:v>18</x:v>
      </x:c>
      <x:c r="C4" s="11">
        <x:v>2</x:v>
      </x:c>
      <x:c r="D4" s="11"/>
      <x:c r="E4" s="11"/>
      <x:c r="I4" t="str">
        <x:f t="shared" ref="I4:I9" si="0">A4</x:f>
        <x:v>側板</x:v>
      </x:c>
      <x:c r="J4" t="n">
        <x:f>B2</x:f>
        <x:v>554</x:v>
      </x:c>
      <x:c r="K4" t="n">
        <x:f>C2</x:f>
        <x:v>1920</x:v>
      </x:c>
      <x:c r="L4" t="n">
        <x:f t="shared" ref="L4:L11" si="1">B4</x:f>
        <x:v>18</x:v>
      </x:c>
      <x:c r="N4" t="n">
        <x:f>C4*$D$2</x:f>
        <x:v>2</x:v>
      </x:c>
      <x:c r="P4" t="s">
        <x:v>29</x:v>
      </x:c>
      <x:c r="Q4" t="n">
        <x:f>N4*2</x:f>
        <x:v>4</x:v>
      </x:c>
    </x:row>
    <x:row r="5">
      <x:c r="A5" s="15" t="s">
        <x:v>16</x:v>
      </x:c>
      <x:c r="B5" s="11">
        <x:v>18</x:v>
      </x:c>
      <x:c r="C5" s="11">
        <x:v>2</x:v>
      </x:c>
      <x:c r="D5" s="11"/>
      <x:c r="E5" s="11"/>
      <x:c r="I5" t="str">
        <x:f t="shared" si="0"/>
        <x:v>頂底板</x:v>
      </x:c>
      <x:c r="J5" t="n">
        <x:f>B2</x:f>
        <x:v>554</x:v>
      </x:c>
      <x:c r="K5" t="n">
        <x:f>A2-36</x:f>
        <x:v>764</x:v>
      </x:c>
      <x:c r="L5">
        <x:f t="shared" si="1"/>
        <x:v>18</x:v>
      </x:c>
      <x:c r="N5" t="n">
        <x:f t="shared" ref="N5:N28" si="2">C5*$D$2</x:f>
        <x:v>2</x:v>
      </x:c>
      <x:c r="P5" t="s">
        <x:v>30</x:v>
      </x:c>
      <x:c r="Q5" t="n">
        <x:f>D2*4</x:f>
        <x:v>4</x:v>
      </x:c>
    </x:row>
    <x:row r="6">
      <x:c r="A6" s="15" t="s">
        <x:v>17</x:v>
      </x:c>
      <x:c r="B6" s="11">
        <x:v>18</x:v>
      </x:c>
      <x:c r="C6" s="13">
        <x:v>3</x:v>
      </x:c>
      <x:c r="D6" s="11"/>
      <x:c r="E6" s="11"/>
      <x:c r="I6" t="str">
        <x:f t="shared" si="0"/>
        <x:v>固隔</x:v>
      </x:c>
      <x:c r="J6" t="n">
        <x:f>B2-29</x:f>
        <x:v>525</x:v>
      </x:c>
      <x:c r="K6" t="n">
        <x:f>A2-36</x:f>
        <x:v>764</x:v>
      </x:c>
      <x:c r="L6">
        <x:f t="shared" si="1"/>
        <x:v>18</x:v>
      </x:c>
      <x:c r="N6">
        <x:f t="shared" si="2"/>
        <x:v>3</x:v>
      </x:c>
      <x:c r="P6" t="s">
        <x:v>31</x:v>
      </x:c>
      <x:c r="Q6" t="n">
        <x:f>N6*4</x:f>
        <x:v>12</x:v>
      </x:c>
    </x:row>
    <x:row r="7">
      <x:c r="A7" s="15" t="s">
        <x:v>18</x:v>
      </x:c>
      <x:c r="B7" s="11">
        <x:v>18</x:v>
      </x:c>
      <x:c r="C7" s="13">
        <x:v>4</x:v>
      </x:c>
      <x:c r="D7" s="11"/>
      <x:c r="E7" s="11"/>
      <x:c r="I7" t="str">
        <x:f t="shared" si="0"/>
        <x:v>活隔</x:v>
      </x:c>
      <x:c r="J7" t="n">
        <x:f>B2-44</x:f>
        <x:v>510</x:v>
      </x:c>
      <x:c r="K7" t="n">
        <x:f>A2-37</x:f>
        <x:v>763</x:v>
      </x:c>
      <x:c r="L7">
        <x:f t="shared" si="1"/>
        <x:v>18</x:v>
      </x:c>
      <x:c r="N7">
        <x:f t="shared" si="2"/>
        <x:v>4</x:v>
      </x:c>
      <x:c r="P7" t="s">
        <x:v>32</x:v>
      </x:c>
      <x:c r="Q7" t="n">
        <x:f>N7*4</x:f>
        <x:v>16</x:v>
      </x:c>
    </x:row>
    <x:row r="8">
      <x:c r="A8" s="15" t="s">
        <x:v>33</x:v>
      </x:c>
      <x:c r="B8" s="11">
        <x:v>8</x:v>
      </x:c>
      <x:c r="C8" s="11">
        <x:v>1</x:v>
      </x:c>
      <x:c r="D8" s="11"/>
      <x:c r="E8" s="11"/>
      <x:c r="I8" t="str">
        <x:f t="shared" si="0"/>
        <x:v>背板</x:v>
      </x:c>
      <x:c r="J8" t="n">
        <x:f>A2-26</x:f>
        <x:v>774</x:v>
      </x:c>
      <x:c r="K8" t="n">
        <x:f>C2-26</x:f>
        <x:v>1894</x:v>
      </x:c>
      <x:c r="L8">
        <x:f t="shared" si="1"/>
        <x:v>8</x:v>
      </x:c>
      <x:c r="N8">
        <x:f t="shared" si="2"/>
        <x:v>1</x:v>
      </x:c>
    </x:row>
    <x:row r="9">
      <x:c r="A9" s="15" t="s">
        <x:v>34</x:v>
      </x:c>
      <x:c r="B9" s="11">
        <x:v>18</x:v>
      </x:c>
      <x:c r="C9" s="11">
        <x:v>1</x:v>
      </x:c>
      <x:c r="D9" s="11"/>
      <x:c r="E9" s="11"/>
      <x:c r="I9" t="str">
        <x:f t="shared" si="0"/>
        <x:v>背條</x:v>
      </x:c>
      <x:c r="J9" t="n">
        <x:f>100</x:f>
        <x:v>100</x:v>
      </x:c>
      <x:c r="K9" t="n">
        <x:f>A2-36</x:f>
        <x:v>764</x:v>
      </x:c>
      <x:c r="L9">
        <x:f t="shared" si="1"/>
        <x:v>18</x:v>
      </x:c>
      <x:c r="N9">
        <x:f t="shared" si="2"/>
        <x:v>1</x:v>
      </x:c>
    </x:row>
    <x:row r="10">
      <x:c r="A10" s="15" t="s">
        <x:v>35</x:v>
      </x:c>
      <x:c r="B10" s="11">
        <x:v>18</x:v>
      </x:c>
      <x:c r="C10" s="13">
        <x:v>2</x:v>
      </x:c>
      <x:c r="I10" t="s">
        <x:v>35</x:v>
      </x:c>
      <x:c r="J10" t="n">
        <x:f>(A2/C10)-3</x:f>
        <x:v>397</x:v>
      </x:c>
      <x:c r="K10" t="n">
        <x:f>(C2-E2)-3</x:f>
        <x:v>1917</x:v>
      </x:c>
      <x:c r="L10">
        <x:f t="shared" si="1"/>
        <x:v>18</x:v>
      </x:c>
      <x:c r="N10">
        <x:f t="shared" si="2"/>
        <x:v>2</x:v>
      </x:c>
      <x:c r="P10" t="s">
        <x:v>36</x:v>
      </x:c>
      <x:c r="Q10" t="n">
        <x:f>IF(K10&lt;960,"2",IF(K10&lt;1600,"3",IF(K10&lt;2240,"4",IF(K10&gt;2241,"5"))))*N10</x:f>
        <x:v>8</x:v>
      </x:c>
    </x:row>
    <x:row r="11">
      <x:c r="A11" s="15" t="s">
        <x:v>37</x:v>
      </x:c>
      <x:c r="B11" s="11">
        <x:v>18</x:v>
      </x:c>
      <x:c r="C11" s="13">
        <x:v>0</x:v>
      </x:c>
      <x:c r="I11" t="str">
        <x:f>A11</x:f>
        <x:v>門板(上)</x:v>
      </x:c>
      <x:c r="J11" t="e">
        <x:f>(A2/C11)-3</x:f>
      </x:c>
      <x:c r="K11" t="n">
        <x:f>E2-3</x:f>
        <x:v>-3</x:v>
      </x:c>
      <x:c r="L11">
        <x:f t="shared" si="1"/>
        <x:v>18</x:v>
      </x:c>
      <x:c r="N11">
        <x:f t="shared" si="2"/>
        <x:v>0</x:v>
      </x:c>
      <x:c r="P11" t="s">
        <x:v>36</x:v>
      </x:c>
      <x:c r="Q11" t="n">
        <x:f>IF(K11&lt;960,"2",IF(K11&lt;1600,"3",IF(K11&lt;2240,"4",IF(K11&gt;2241,"5"))))*N11</x:f>
        <x:v>0</x:v>
      </x:c>
    </x:row>
    <x:row r="12">
      <x:c r="A12" s="15"/>
      <x:c r="B12" s="11"/>
      <x:c r="C12" s="16"/>
      <x:c r="N12">
        <x:f t="shared" si="2"/>
        <x:v>0</x:v>
      </x:c>
    </x:row>
    <x:row r="13">
      <x:c r="A13" s="15"/>
      <x:c r="B13" s="11"/>
      <x:c r="C13" s="16"/>
      <x:c r="N13">
        <x:f t="shared" si="2"/>
        <x:v>0</x:v>
      </x:c>
    </x:row>
    <x:row r="14" ht="21">
      <x:c r="A14" s="15" t="s">
        <x:v>38</x:v>
      </x:c>
      <x:c r="B14" s="11"/>
      <x:c r="I14" s="26" t="s">
        <x:v>2</x:v>
      </x:c>
      <x:c r="J14" s="38" t="s">
        <x:v>3</x:v>
      </x:c>
      <x:c r="K14" s="38"/>
      <x:c r="L14" s="26" t="s">
        <x:v>4</x:v>
      </x:c>
      <x:c r="M14" s="26" t="s">
        <x:v>5</x:v>
      </x:c>
      <x:c r="N14" s="26" t="s">
        <x:v>6</x:v>
      </x:c>
      <x:c r="P14" s="21" t="s">
        <x:v>28</x:v>
      </x:c>
      <x:c r="Q14" s="21" t="s">
        <x:v>6</x:v>
      </x:c>
    </x:row>
    <x:row r="15">
      <x:c r="A15" s="15" t="s">
        <x:v>39</x:v>
      </x:c>
      <x:c r="B15" s="11">
        <x:v>18</x:v>
      </x:c>
      <x:c r="C15" s="18">
        <x:v>2</x:v>
      </x:c>
      <x:c r="I15" t="str">
        <x:f t="shared" ref="I15:I21" si="3">A15</x:f>
        <x:v>門板(斜)</x:v>
      </x:c>
      <x:c r="J15" t="n">
        <x:f>(A2-F2)/C15</x:f>
        <x:v>388</x:v>
      </x:c>
      <x:c r="K15" t="n">
        <x:f>C2-3</x:f>
        <x:v>1917</x:v>
      </x:c>
      <x:c r="L15" t="n">
        <x:f>B15</x:f>
        <x:v>18</x:v>
      </x:c>
      <x:c r="N15">
        <x:f t="shared" si="2"/>
        <x:v>2</x:v>
      </x:c>
      <x:c r="P15" t="s">
        <x:v>36</x:v>
      </x:c>
      <x:c r="Q15" t="n">
        <x:f>IF(K15&lt;960,"2",IF(K15&lt;1600,"3",IF(K15&lt;2240,"4",IF(K15&gt;2241,"5"))))*N15</x:f>
        <x:v>8</x:v>
      </x:c>
    </x:row>
    <x:row r="16">
      <x:c r="A16" s="15" t="s">
        <x:v>40</x:v>
      </x:c>
      <x:c r="B16" s="11">
        <x:v>18</x:v>
      </x:c>
      <x:c r="C16" s="18">
        <x:v>0</x:v>
      </x:c>
      <x:c r="I16" t="str">
        <x:f t="shared" si="3"/>
        <x:v>門板斜(上)</x:v>
      </x:c>
      <x:c r="J16" t="e">
        <x:f>(A2/C16)-3</x:f>
      </x:c>
      <x:c r="K16" t="n">
        <x:f>E2+9</x:f>
        <x:v>9</x:v>
      </x:c>
      <x:c r="L16" t="n">
        <x:f>B15</x:f>
        <x:v>18</x:v>
      </x:c>
      <x:c r="N16">
        <x:f t="shared" si="2"/>
        <x:v>0</x:v>
      </x:c>
      <x:c r="P16" t="s">
        <x:v>36</x:v>
      </x:c>
      <x:c r="Q16" t="n">
        <x:f>IF(K16&lt;960,"2",IF(K16&lt;1600,"3",IF(K16&lt;2240,"4",IF(K16&gt;2241,"5"))))*N16</x:f>
        <x:v>0</x:v>
      </x:c>
    </x:row>
    <x:row r="17">
      <x:c r="A17" s="15" t="s">
        <x:v>41</x:v>
      </x:c>
      <x:c r="B17" s="11">
        <x:v>18</x:v>
      </x:c>
      <x:c r="C17" s="18">
        <x:v>0</x:v>
      </x:c>
      <x:c r="I17" t="str">
        <x:f t="shared" si="3"/>
        <x:v>門板斜(下)</x:v>
      </x:c>
      <x:c r="J17" t="e">
        <x:f>(A2-F2)/C17</x:f>
      </x:c>
      <x:c r="K17" t="n">
        <x:f>C2-E2-33</x:f>
        <x:v>1887</x:v>
      </x:c>
      <x:c r="L17" t="n">
        <x:f>B17</x:f>
        <x:v>18</x:v>
      </x:c>
      <x:c r="N17">
        <x:f t="shared" si="2"/>
        <x:v>0</x:v>
      </x:c>
      <x:c r="P17" t="s">
        <x:v>36</x:v>
      </x:c>
      <x:c r="Q17" t="n">
        <x:f>IF(K17&lt;960,"2",IF(K17&lt;1600,"3",IF(K17&lt;2240,"4",IF(K17&gt;2241,"5"))))*N17</x:f>
        <x:v>0</x:v>
      </x:c>
    </x:row>
    <x:row r="18">
      <x:c r="A18" t="s">
        <x:v>76</x:v>
      </x:c>
      <x:c r="B18" s="11">
        <x:v>18</x:v>
      </x:c>
      <x:c r="C18" s="18">
        <x:v>2</x:v>
      </x:c>
      <x:c r="I18" t="str">
        <x:f t="shared" si="3"/>
        <x:v>內退固隔</x:v>
      </x:c>
      <x:c r="J18" t="n">
        <x:f>A2-36</x:f>
        <x:v>764</x:v>
      </x:c>
      <x:c r="K18" t="n">
        <x:f>B2-48</x:f>
        <x:v>506</x:v>
      </x:c>
      <x:c r="L18" t="n">
        <x:f>B18</x:f>
        <x:v>18</x:v>
      </x:c>
      <x:c r="N18">
        <x:f t="shared" si="2"/>
        <x:v>2</x:v>
      </x:c>
      <x:c r="P18" t="s">
        <x:v>31</x:v>
      </x:c>
      <x:c r="Q18" t="n">
        <x:f>N18*4</x:f>
        <x:v>8</x:v>
      </x:c>
    </x:row>
    <x:row r="19">
      <x:c r="A19" t="s">
        <x:v>43</x:v>
      </x:c>
      <x:c r="B19" s="11">
        <x:v>18</x:v>
      </x:c>
      <x:c r="C19" s="18">
        <x:v>2</x:v>
      </x:c>
      <x:c r="I19" t="str">
        <x:f t="shared" si="3"/>
        <x:v>橫擋板</x:v>
      </x:c>
      <x:c r="J19" t="n">
        <x:f>60</x:f>
        <x:v>60</x:v>
      </x:c>
      <x:c r="K19" t="n">
        <x:f>A2-36</x:f>
        <x:v>764</x:v>
      </x:c>
      <x:c r="L19" t="n">
        <x:f>B19</x:f>
        <x:v>18</x:v>
      </x:c>
      <x:c r="N19">
        <x:f t="shared" si="2"/>
        <x:v>2</x:v>
      </x:c>
      <x:c r="P19" t="s">
        <x:v>30</x:v>
      </x:c>
      <x:c r="Q19" t="n">
        <x:f>N23</x:f>
        <x:v>0</x:v>
      </x:c>
    </x:row>
    <x:row r="20">
      <x:c r="A20" t="s">
        <x:v>44</x:v>
      </x:c>
      <x:c r="B20" s="11">
        <x:v>8</x:v>
      </x:c>
      <x:c r="C20" s="18">
        <x:v>1</x:v>
      </x:c>
      <x:c r="I20" t="str">
        <x:f t="shared" si="3"/>
        <x:v>立擋板(斜)</x:v>
      </x:c>
      <x:c r="J20" t="n">
        <x:f>70</x:f>
        <x:v>70</x:v>
      </x:c>
      <x:c r="K20" t="n">
        <x:f>C2-41</x:f>
        <x:v>1879</x:v>
      </x:c>
      <x:c r="L20" t="n">
        <x:f>B20</x:f>
        <x:v>8</x:v>
      </x:c>
      <x:c r="N20">
        <x:f t="shared" si="2"/>
        <x:v>1</x:v>
      </x:c>
      <x:c r="P20" t="s">
        <x:v>30</x:v>
      </x:c>
      <x:c r="Q20" t="n">
        <x:f>N24</x:f>
        <x:v>0</x:v>
      </x:c>
    </x:row>
    <x:row r="21">
      <x:c r="A21" t="s">
        <x:v>45</x:v>
      </x:c>
      <x:c r="B21" s="11">
        <x:v>8</x:v>
      </x:c>
      <x:c r="C21" s="18"/>
      <x:c r="I21" t="str">
        <x:f t="shared" si="3"/>
        <x:v>立擋板(下)</x:v>
      </x:c>
      <x:c r="J21" t="n">
        <x:f>70</x:f>
        <x:v>70</x:v>
      </x:c>
      <x:c r="K21" t="n">
        <x:f>C2-E2-74</x:f>
        <x:v>1846</x:v>
      </x:c>
      <x:c r="L21" t="n">
        <x:f>B21</x:f>
        <x:v>8</x:v>
      </x:c>
      <x:c r="N21">
        <x:f t="shared" si="2"/>
        <x:v>0</x:v>
      </x:c>
    </x:row>
    <x:row r="22">
      <x:c r="N22">
        <x:f t="shared" si="2"/>
        <x:v>0</x:v>
      </x:c>
    </x:row>
    <x:row r="23">
      <x:c r="A23" t="s">
        <x:v>47</x:v>
      </x:c>
      <x:c r="B23" s="11">
        <x:v>18</x:v>
      </x:c>
      <x:c r="C23" s="18"/>
      <x:c r="I23" t="str">
        <x:f t="shared" ref="I23:I28" si="4">A23</x:f>
        <x:v>中立板到頂</x:v>
      </x:c>
      <x:c r="J23" t="n">
        <x:f>B2-29</x:f>
        <x:v>525</x:v>
      </x:c>
      <x:c r="K23" t="n">
        <x:f>C2-36</x:f>
        <x:v>1884</x:v>
      </x:c>
      <x:c r="L23" t="n">
        <x:f>B23</x:f>
        <x:v>18</x:v>
      </x:c>
      <x:c r="N23" t="n">
        <x:f>C23*$D$2</x:f>
        <x:v>0</x:v>
      </x:c>
      <x:c r="P23" t="s">
        <x:v>31</x:v>
      </x:c>
      <x:c r="Q23" t="n">
        <x:f>N23*4</x:f>
        <x:v>0</x:v>
      </x:c>
    </x:row>
    <x:row r="24">
      <x:c r="A24" t="s">
        <x:v>48</x:v>
      </x:c>
      <x:c r="B24" s="11">
        <x:v>18</x:v>
      </x:c>
      <x:c r="C24" s="18"/>
      <x:c r="I24" t="str">
        <x:f t="shared" si="4"/>
        <x:v>中立板到固隔</x:v>
      </x:c>
      <x:c r="J24" t="n">
        <x:f>B2-29</x:f>
        <x:v>525</x:v>
      </x:c>
      <x:c r="K24" t="n">
        <x:f>C2-E2-27</x:f>
        <x:v>1893</x:v>
      </x:c>
      <x:c r="L24" t="n">
        <x:f>B24</x:f>
        <x:v>18</x:v>
      </x:c>
      <x:c r="N24">
        <x:f t="shared" si="2"/>
        <x:v>0</x:v>
      </x:c>
      <x:c r="P24" t="s">
        <x:v>31</x:v>
      </x:c>
      <x:c r="Q24" t="n">
        <x:f>N24*4</x:f>
        <x:v>0</x:v>
      </x:c>
    </x:row>
    <x:row r="25">
      <x:c r="A25" t="s">
        <x:v>49</x:v>
      </x:c>
      <x:c r="B25" s="11">
        <x:v>18</x:v>
      </x:c>
      <x:c r="C25" s="18"/>
      <x:c r="I25" t="str">
        <x:f t="shared" si="4"/>
        <x:v>左固隔</x:v>
      </x:c>
      <x:c r="J25" t="n">
        <x:f>B2-29</x:f>
        <x:v>525</x:v>
      </x:c>
      <x:c r="K25" t="n">
        <x:f>G2-27</x:f>
        <x:v>323</x:v>
      </x:c>
      <x:c r="L25" t="n">
        <x:f>B25</x:f>
        <x:v>18</x:v>
      </x:c>
      <x:c r="N25">
        <x:f t="shared" si="2"/>
        <x:v>0</x:v>
      </x:c>
      <x:c r="P25" t="s">
        <x:v>31</x:v>
      </x:c>
      <x:c r="Q25" t="n">
        <x:f>N25*4</x:f>
        <x:v>0</x:v>
      </x:c>
    </x:row>
    <x:row r="26">
      <x:c r="A26" t="s">
        <x:v>50</x:v>
      </x:c>
      <x:c r="B26" s="11">
        <x:v>18</x:v>
      </x:c>
      <x:c r="C26" s="18"/>
      <x:c r="I26" t="str">
        <x:f t="shared" si="4"/>
        <x:v>右固隔</x:v>
      </x:c>
      <x:c r="J26" t="n">
        <x:f>B2-29</x:f>
        <x:v>525</x:v>
      </x:c>
      <x:c r="K26" t="n">
        <x:f>A2-G2-27</x:f>
        <x:v>423</x:v>
      </x:c>
      <x:c r="L26" t="n">
        <x:f>B28</x:f>
        <x:v>18</x:v>
      </x:c>
      <x:c r="N26">
        <x:f t="shared" si="2"/>
        <x:v>0</x:v>
      </x:c>
      <x:c r="P26" t="s">
        <x:v>31</x:v>
      </x:c>
      <x:c r="Q26" t="n">
        <x:f>N26*4</x:f>
        <x:v>0</x:v>
      </x:c>
    </x:row>
    <x:row r="27">
      <x:c r="A27" t="s">
        <x:v>51</x:v>
      </x:c>
      <x:c r="B27" s="11">
        <x:v>18</x:v>
      </x:c>
      <x:c r="C27" s="18"/>
      <x:c r="I27" t="str">
        <x:f t="shared" si="4"/>
        <x:v>左活隔</x:v>
      </x:c>
      <x:c r="J27" t="n">
        <x:f>B2-44</x:f>
        <x:v>510</x:v>
      </x:c>
      <x:c r="K27" t="n">
        <x:f>G2-29</x:f>
        <x:v>321</x:v>
      </x:c>
      <x:c r="L27" t="n">
        <x:f>B27</x:f>
        <x:v>18</x:v>
      </x:c>
      <x:c r="N27">
        <x:f t="shared" si="2"/>
        <x:v>0</x:v>
      </x:c>
    </x:row>
    <x:row r="28">
      <x:c r="A28" t="s">
        <x:v>52</x:v>
      </x:c>
      <x:c r="B28" s="11">
        <x:v>18</x:v>
      </x:c>
      <x:c r="C28" s="18"/>
      <x:c r="I28" t="str">
        <x:f t="shared" si="4"/>
        <x:v>右活隔</x:v>
      </x:c>
      <x:c r="J28" t="n">
        <x:f>B2-44</x:f>
        <x:v>510</x:v>
      </x:c>
      <x:c r="K28" t="n">
        <x:f>A2-G2-29</x:f>
        <x:v>421</x:v>
      </x:c>
      <x:c r="N28">
        <x:f t="shared" si="2"/>
        <x:v>0</x:v>
      </x:c>
    </x:row>
    <x:row r="29">
      <x:c r="B29" s="11" t="s">
        <x:v>22</x:v>
      </x:c>
      <x:c r="C29" t="s">
        <x:v>23</x:v>
      </x:c>
      <x:c r="D29" t="s">
        <x:v>24</x:v>
      </x:c>
      <x:c r="E29" t="s">
        <x:v>53</x:v>
      </x:c>
    </x:row>
    <x:row r="30">
      <x:c r="B30" s="20">
        <x:v>900</x:v>
      </x:c>
      <x:c r="C30" s="25">
        <x:v>554</x:v>
      </x:c>
      <x:c r="D30" s="25">
        <x:v>2400</x:v>
      </x:c>
      <x:c r="E30" s="20">
        <x:v>3</x:v>
      </x:c>
    </x:row>
    <x:row r="31" ht="21">
      <x:c r="A31" t="s">
        <x:v>54</x:v>
      </x:c>
      <x:c r="B31" t="s">
        <x:v>4</x:v>
      </x:c>
      <x:c r="E31" t="s">
        <x:v>6</x:v>
      </x:c>
      <x:c r="I31" s="26" t="s">
        <x:v>2</x:v>
      </x:c>
      <x:c r="J31" s="38" t="s">
        <x:v>3</x:v>
      </x:c>
      <x:c r="K31" s="38"/>
      <x:c r="L31" s="26" t="s">
        <x:v>4</x:v>
      </x:c>
      <x:c r="M31" s="26" t="s">
        <x:v>5</x:v>
      </x:c>
      <x:c r="N31" s="26" t="s">
        <x:v>6</x:v>
      </x:c>
    </x:row>
    <x:row r="32">
      <x:c r="A32" t="s">
        <x:v>55</x:v>
      </x:c>
      <x:c r="B32" s="11">
        <x:v>18</x:v>
      </x:c>
      <x:c r="D32" s="18">
        <x:v>2600</x:v>
      </x:c>
      <x:c r="E32">
        <x:v>1</x:v>
      </x:c>
      <x:c r="I32" t="str">
        <x:f>A32</x:f>
        <x:v>側封板</x:v>
      </x:c>
      <x:c r="J32" t="n">
        <x:f>C30+96</x:f>
        <x:v>650</x:v>
      </x:c>
      <x:c r="K32" t="n">
        <x:f>D32</x:f>
        <x:v>2600</x:v>
      </x:c>
      <x:c r="L32" t="n">
        <x:f>B32</x:f>
        <x:v>18</x:v>
      </x:c>
      <x:c r="N32" t="n">
        <x:f>E32*$D$2</x:f>
        <x:v>1</x:v>
      </x:c>
    </x:row>
    <x:row r="33">
      <x:c r="A33" t="s">
        <x:v>56</x:v>
      </x:c>
      <x:c r="B33" s="11">
        <x:v>18</x:v>
      </x:c>
      <x:c r="D33" s="18">
        <x:v>2400</x:v>
      </x:c>
      <x:c r="I33" t="str">
        <x:f>A33</x:f>
        <x:v>修邊側封板</x:v>
      </x:c>
      <x:c r="J33" t="n">
        <x:f>170</x:f>
        <x:v>170</x:v>
      </x:c>
      <x:c r="K33" t="n">
        <x:f>D33</x:f>
        <x:v>2400</x:v>
      </x:c>
      <x:c r="L33" t="n">
        <x:f>B33</x:f>
        <x:v>18</x:v>
      </x:c>
      <x:c r="N33" t="n">
        <x:f t="shared" ref="N33:N40" si="5">E33*$D$2</x:f>
        <x:v>0</x:v>
      </x:c>
      <x:c r="P33" t="s">
        <x:v>57</x:v>
      </x:c>
      <x:c r="Q33" t="n">
        <x:f>B30*E30</x:f>
        <x:v>2700</x:v>
      </x:c>
    </x:row>
    <x:row r="34">
      <x:c r="A34" t="s">
        <x:v>58</x:v>
      </x:c>
      <x:c r="B34" s="11">
        <x:v>18</x:v>
      </x:c>
      <x:c r="E34">
        <x:v>2</x:v>
      </x:c>
      <x:c r="I34" t="str">
        <x:f>A34</x:f>
        <x:v>上下軌道板</x:v>
      </x:c>
      <x:c r="J34" t="n">
        <x:f>170</x:f>
        <x:v>170</x:v>
      </x:c>
      <x:c r="K34" t="n">
        <x:f>B30*E30</x:f>
        <x:v>2700</x:v>
      </x:c>
      <x:c r="L34" t="n">
        <x:f>B34</x:f>
        <x:v>18</x:v>
      </x:c>
      <x:c r="N34">
        <x:f t="shared" si="5"/>
        <x:v>2</x:v>
      </x:c>
      <x:c r="P34" t="s">
        <x:v>59</x:v>
      </x:c>
      <x:c r="Q34" t="n">
        <x:f>B30*E30</x:f>
        <x:v>2700</x:v>
      </x:c>
    </x:row>
    <x:row r="35">
      <x:c r="A35" t="s">
        <x:v>60</x:v>
      </x:c>
      <x:c r="B35" s="11">
        <x:v>18</x:v>
      </x:c>
      <x:c r="I35" t="str">
        <x:f>A35</x:f>
        <x:v>推拉門片(2)</x:v>
      </x:c>
      <x:c r="J35" t="n">
        <x:f>B30-11</x:f>
        <x:v>889</x:v>
      </x:c>
      <x:c r="K35" t="n">
        <x:f>D30-40</x:f>
        <x:v>2360</x:v>
      </x:c>
      <x:c r="L35" t="n">
        <x:f>B35</x:f>
        <x:v>18</x:v>
      </x:c>
      <x:c r="N35">
        <x:f t="shared" si="5"/>
        <x:v>0</x:v>
      </x:c>
      <x:c r="P35" t="s">
        <x:v>61</x:v>
      </x:c>
      <x:c r="Q35" t="n">
        <x:f>E30</x:f>
        <x:v>3</x:v>
      </x:c>
    </x:row>
    <x:row r="36">
      <x:c r="A36" t="s">
        <x:v>62</x:v>
      </x:c>
      <x:c r="B36" s="11">
        <x:v>18</x:v>
      </x:c>
      <x:c r="E36">
        <x:v>3</x:v>
      </x:c>
      <x:c r="I36" t="str">
        <x:f>A36</x:f>
        <x:v>推拉門片(3)</x:v>
      </x:c>
      <x:c r="J36" t="n">
        <x:f>B30-9</x:f>
        <x:v>891</x:v>
      </x:c>
      <x:c r="K36" t="n">
        <x:f>D30-40</x:f>
        <x:v>2360</x:v>
      </x:c>
      <x:c r="L36" t="n">
        <x:f>B36</x:f>
        <x:v>18</x:v>
      </x:c>
      <x:c r="N36">
        <x:f t="shared" si="5"/>
        <x:v>3</x:v>
      </x:c>
    </x:row>
    <x:row r="37">
      <x:c r="N37">
        <x:f t="shared" si="5"/>
        <x:v>0</x:v>
      </x:c>
    </x:row>
    <x:row r="38">
      <x:c r="N38">
        <x:f t="shared" si="5"/>
        <x:v>0</x:v>
      </x:c>
    </x:row>
    <x:row r="39">
      <x:c r="N39">
        <x:f t="shared" si="5"/>
        <x:v>0</x:v>
      </x:c>
    </x:row>
    <x:row r="40" ht="32.25">
      <x:c r="A40" s="27" t="s">
        <x:v>63</x:v>
      </x:c>
      <x:c r="N40">
        <x:f t="shared" si="5"/>
        <x:v>0</x:v>
      </x:c>
    </x:row>
    <x:row r="41">
      <x:c r="A41" s="11" t="s">
        <x:v>22</x:v>
      </x:c>
      <x:c r="B41" s="11" t="s">
        <x:v>23</x:v>
      </x:c>
      <x:c r="C41" s="11" t="s">
        <x:v>64</x:v>
      </x:c>
      <x:c r="D41" s="11" t="s">
        <x:v>6</x:v>
      </x:c>
      <x:c r="E41" s="11" t="s">
        <x:v>65</x:v>
      </x:c>
      <x:c r="F41" s="11" t="s">
        <x:v>66</x:v>
      </x:c>
      <x:c r="G41" s="11" t="s">
        <x:v>67</x:v>
      </x:c>
      <x:c r="H41" s="11" t="s">
        <x:v>68</x:v>
      </x:c>
    </x:row>
    <x:row r="42">
      <x:c r="A42" s="13">
        <x:v>1000</x:v>
      </x:c>
      <x:c r="B42" s="13">
        <x:v>400</x:v>
      </x:c>
      <x:c r="C42" s="20" t="n">
        <x:f>E42-29-(F42*G42)-(C43*D43)</x:f>
        <x:v>145</x:v>
      </x:c>
      <x:c r="D42" s="13">
        <x:v>1</x:v>
      </x:c>
      <x:c r="E42" s="13">
        <x:v>704</x:v>
      </x:c>
      <x:c r="F42" s="13">
        <x:v>2</x:v>
      </x:c>
      <x:c r="G42" s="13">
        <x:v>25</x:v>
      </x:c>
      <x:c r="H42" s="13">
        <x:v>2</x:v>
      </x:c>
    </x:row>
    <x:row r="43">
      <x:c r="A43" s="13">
        <x:v>1000</x:v>
      </x:c>
      <x:c r="B43" s="13">
        <x:v>400</x:v>
      </x:c>
      <x:c r="C43" s="11">
        <x:v>240</x:v>
      </x:c>
      <x:c r="D43" s="13">
        <x:v>2</x:v>
      </x:c>
      <x:c r="E43" s="11"/>
    </x:row>
    <x:row r="44" ht="21">
      <x:c r="A44" s="11"/>
      <x:c r="B44" s="11" t="s">
        <x:v>4</x:v>
      </x:c>
      <x:c r="C44" s="11" t="s">
        <x:v>24</x:v>
      </x:c>
      <x:c r="D44" s="11" t="s">
        <x:v>6</x:v>
      </x:c>
      <x:c r="E44" s="11"/>
      <x:c r="F44" s="11"/>
      <x:c r="G44" s="23"/>
      <x:c r="H44" s="22"/>
      <x:c r="I44" s="26" t="s">
        <x:v>2</x:v>
      </x:c>
      <x:c r="J44" s="38" t="s">
        <x:v>3</x:v>
      </x:c>
      <x:c r="K44" s="38"/>
      <x:c r="L44" s="26" t="s">
        <x:v>4</x:v>
      </x:c>
      <x:c r="M44" s="26" t="s">
        <x:v>5</x:v>
      </x:c>
      <x:c r="N44" s="26" t="s">
        <x:v>6</x:v>
      </x:c>
    </x:row>
    <x:row r="45">
      <x:c r="A45" s="12" t="s">
        <x:v>69</x:v>
      </x:c>
      <x:c r="B45" s="11">
        <x:v>25</x:v>
      </x:c>
      <x:c r="C45" s="11"/>
      <x:c r="D45" s="11">
        <x:v>4</x:v>
      </x:c>
      <x:c r="E45" s="11"/>
      <x:c r="I45" s="12" t="s">
        <x:v>69</x:v>
      </x:c>
      <x:c r="J45">
        <x:v>120</x:v>
      </x:c>
      <x:c r="K45" t="n">
        <x:f>E42-27</x:f>
        <x:v>677</x:v>
      </x:c>
      <x:c r="L45" t="n">
        <x:f t="shared" ref="L45:L51" si="6">B45</x:f>
        <x:v>25</x:v>
      </x:c>
      <x:c r="N45" t="n">
        <x:f>D45*$H$42</x:f>
        <x:v>8</x:v>
      </x:c>
    </x:row>
    <x:row r="46">
      <x:c r="A46" s="12" t="s">
        <x:v>70</x:v>
      </x:c>
      <x:c r="B46" s="11">
        <x:v>18</x:v>
      </x:c>
      <x:c r="C46" s="11">
        <x:v>100</x:v>
      </x:c>
      <x:c r="D46" s="11">
        <x:v>2</x:v>
      </x:c>
      <x:c r="E46" s="11"/>
      <x:c r="I46" s="12" t="s">
        <x:v>70</x:v>
      </x:c>
      <x:c r="J46" t="n">
        <x:f>B42</x:f>
        <x:v>400</x:v>
      </x:c>
      <x:c r="K46" t="n">
        <x:f>C46</x:f>
        <x:v>100</x:v>
      </x:c>
      <x:c r="L46">
        <x:f t="shared" si="6"/>
        <x:v>18</x:v>
      </x:c>
      <x:c r="N46" t="n">
        <x:f t="shared" ref="N46:N53" si="7">D46*$H$42</x:f>
        <x:v>4</x:v>
      </x:c>
      <x:c r="P46" t="s">
        <x:v>71</x:v>
      </x:c>
      <x:c r="Q46" t="n">
        <x:f>N45/2</x:f>
        <x:v>4</x:v>
      </x:c>
    </x:row>
    <x:row r="47">
      <x:c r="A47" s="12" t="s">
        <x:v>72</x:v>
      </x:c>
      <x:c r="B47" s="11">
        <x:v>18</x:v>
      </x:c>
      <x:c r="C47" s="11">
        <x:v>100</x:v>
      </x:c>
      <x:c r="D47" s="11">
        <x:v>2</x:v>
      </x:c>
      <x:c r="E47" s="11"/>
      <x:c r="I47" s="12" t="s">
        <x:v>72</x:v>
      </x:c>
      <x:c r="J47" t="n">
        <x:f>C47</x:f>
        <x:v>100</x:v>
      </x:c>
      <x:c r="K47" t="n">
        <x:f>A42-99-50</x:f>
        <x:v>851</x:v>
      </x:c>
      <x:c r="L47">
        <x:f t="shared" si="6"/>
        <x:v>18</x:v>
      </x:c>
      <x:c r="N47">
        <x:f t="shared" si="7"/>
        <x:v>4</x:v>
      </x:c>
    </x:row>
    <x:row r="48">
      <x:c r="A48" s="12" t="s">
        <x:v>74</x:v>
      </x:c>
      <x:c r="B48" s="11">
        <x:v>8</x:v>
      </x:c>
      <x:c r="C48" s="11"/>
      <x:c r="D48" s="11">
        <x:v>1</x:v>
      </x:c>
      <x:c r="E48" s="11"/>
      <x:c r="I48" s="12" t="s">
        <x:v>74</x:v>
      </x:c>
      <x:c r="J48" t="n">
        <x:f>B42-26</x:f>
        <x:v>374</x:v>
      </x:c>
      <x:c r="K48" t="n">
        <x:f>K47+10</x:f>
        <x:v>861</x:v>
      </x:c>
      <x:c r="L48">
        <x:f t="shared" si="6"/>
        <x:v>8</x:v>
      </x:c>
      <x:c r="N48">
        <x:f t="shared" si="7"/>
        <x:v>2</x:v>
      </x:c>
    </x:row>
    <x:row r="49">
      <x:c r="A49" s="12" t="s">
        <x:v>75</x:v>
      </x:c>
      <x:c r="B49" s="11">
        <x:v>18</x:v>
      </x:c>
      <x:c r="C49" s="11"/>
      <x:c r="D49" s="11">
        <x:v>1</x:v>
      </x:c>
      <x:c r="E49" s="11"/>
      <x:c r="I49" s="12" t="s">
        <x:v>75</x:v>
      </x:c>
      <x:c r="J49" t="n">
        <x:f>A42-91</x:f>
        <x:v>909</x:v>
      </x:c>
      <x:c r="K49" t="n">
        <x:f>C42</x:f>
        <x:v>145</x:v>
      </x:c>
      <x:c r="L49">
        <x:f t="shared" si="6"/>
        <x:v>18</x:v>
      </x:c>
      <x:c r="N49">
        <x:f t="shared" si="7"/>
        <x:v>2</x:v>
      </x:c>
    </x:row>
    <x:row r="50">
      <x:c r="A50" s="12" t="s">
        <x:v>70</x:v>
      </x:c>
      <x:c r="B50" s="11">
        <x:v>18</x:v>
      </x:c>
      <x:c r="C50" s="11">
        <x:v>180</x:v>
      </x:c>
      <x:c r="D50" s="11">
        <x:v>2</x:v>
      </x:c>
      <x:c r="E50" s="11"/>
      <x:c r="I50" s="12" t="s">
        <x:v>70</x:v>
      </x:c>
      <x:c r="J50" t="n">
        <x:f>B43</x:f>
        <x:v>400</x:v>
      </x:c>
      <x:c r="K50" t="n">
        <x:f>C50</x:f>
        <x:v>180</x:v>
      </x:c>
      <x:c r="L50">
        <x:f t="shared" si="6"/>
        <x:v>18</x:v>
      </x:c>
      <x:c r="N50">
        <x:f t="shared" si="7"/>
        <x:v>4</x:v>
      </x:c>
      <x:c r="P50" t="s">
        <x:v>71</x:v>
      </x:c>
      <x:c r="Q50" t="n">
        <x:f>N50/2</x:f>
        <x:v>2</x:v>
      </x:c>
    </x:row>
    <x:row r="51">
      <x:c r="A51" s="12" t="s">
        <x:v>72</x:v>
      </x:c>
      <x:c r="B51" s="11">
        <x:v>18</x:v>
      </x:c>
      <x:c r="C51" s="11">
        <x:v>180</x:v>
      </x:c>
      <x:c r="D51" s="11">
        <x:v>2</x:v>
      </x:c>
      <x:c r="E51" s="11"/>
      <x:c r="G51" s="15"/>
      <x:c r="H51" s="15"/>
      <x:c r="I51" s="12" t="s">
        <x:v>72</x:v>
      </x:c>
      <x:c r="J51">
        <x:v>180</x:v>
      </x:c>
      <x:c r="K51" t="n">
        <x:f>A43-99-50</x:f>
        <x:v>851</x:v>
      </x:c>
      <x:c r="L51">
        <x:f t="shared" si="6"/>
        <x:v>18</x:v>
      </x:c>
      <x:c r="N51">
        <x:f t="shared" si="7"/>
        <x:v>4</x:v>
      </x:c>
    </x:row>
    <x:row r="52">
      <x:c r="A52" s="12" t="s">
        <x:v>74</x:v>
      </x:c>
      <x:c r="B52" s="11">
        <x:v>8</x:v>
      </x:c>
      <x:c r="C52" s="11"/>
      <x:c r="D52" s="11">
        <x:v>1</x:v>
      </x:c>
      <x:c r="E52" s="11"/>
      <x:c r="I52" s="12" t="s">
        <x:v>74</x:v>
      </x:c>
      <x:c r="J52">
        <x:v>180</x:v>
      </x:c>
      <x:c r="K52" t="n">
        <x:f>K51+10</x:f>
        <x:v>861</x:v>
      </x:c>
      <x:c r="L52">
        <x:v>8</x:v>
      </x:c>
      <x:c r="N52">
        <x:f t="shared" si="7"/>
        <x:v>2</x:v>
      </x:c>
    </x:row>
    <x:row r="53">
      <x:c r="A53" s="12" t="s">
        <x:v>75</x:v>
      </x:c>
      <x:c r="B53" s="11">
        <x:v>18</x:v>
      </x:c>
      <x:c r="C53" s="11"/>
      <x:c r="D53" s="11">
        <x:v>1</x:v>
      </x:c>
      <x:c r="E53" s="11"/>
      <x:c r="I53" s="12" t="s">
        <x:v>75</x:v>
      </x:c>
      <x:c r="J53" t="n">
        <x:f>A43-91</x:f>
        <x:v>909</x:v>
      </x:c>
      <x:c r="K53" t="n">
        <x:f>C43</x:f>
        <x:v>240</x:v>
      </x:c>
      <x:c r="L53">
        <x:v>18</x:v>
      </x:c>
      <x:c r="N53">
        <x:f t="shared" si="7"/>
        <x:v>2</x:v>
      </x:c>
    </x:row>
    <x:row r="58" ht="32.25">
      <x:c r="A58" s="27" t="s">
        <x:v>77</x:v>
      </x:c>
    </x:row>
    <x:row r="59" ht="33">
      <x:c r="A59" s="11" t="s">
        <x:v>22</x:v>
      </x:c>
      <x:c r="B59" s="11" t="s">
        <x:v>23</x:v>
      </x:c>
      <x:c r="C59" s="11" t="s">
        <x:v>24</x:v>
      </x:c>
      <x:c r="D59" s="11" t="s">
        <x:v>6</x:v>
      </x:c>
      <x:c r="E59" s="24" t="s">
        <x:v>25</x:v>
      </x:c>
      <x:c r="F59" s="11" t="s">
        <x:v>26</x:v>
      </x:c>
      <x:c r="G59" s="24" t="s">
        <x:v>27</x:v>
      </x:c>
      <x:c r="H59" s="11"/>
    </x:row>
    <x:row r="60">
      <x:c r="A60" s="13">
        <x:v>800</x:v>
      </x:c>
      <x:c r="B60" s="13">
        <x:v>554</x:v>
      </x:c>
      <x:c r="C60" s="13">
        <x:v>2400</x:v>
      </x:c>
      <x:c r="D60" s="13">
        <x:v>1</x:v>
      </x:c>
      <x:c r="E60" s="13">
        <x:v>480</x:v>
      </x:c>
      <x:c r="F60" s="13">
        <x:v>24</x:v>
      </x:c>
      <x:c r="G60" s="13">
        <x:v>350</x:v>
      </x:c>
    </x:row>
    <x:row r="61">
      <x:c r="A61" s="11" t="s">
        <x:v>22</x:v>
      </x:c>
      <x:c r="B61" s="11" t="s">
        <x:v>23</x:v>
      </x:c>
      <x:c r="C61" s="11" t="s">
        <x:v>64</x:v>
      </x:c>
      <x:c r="D61" s="11" t="s">
        <x:v>6</x:v>
      </x:c>
      <x:c r="E61" s="11" t="s">
        <x:v>65</x:v>
      </x:c>
      <x:c r="F61" s="11" t="s">
        <x:v>66</x:v>
      </x:c>
      <x:c r="G61" s="11" t="s">
        <x:v>67</x:v>
      </x:c>
      <x:c r="H61" s="11" t="s">
        <x:v>68</x:v>
      </x:c>
    </x:row>
    <x:row r="62">
      <x:c r="A62" s="13" t="n">
        <x:f>A60</x:f>
        <x:v>800</x:v>
      </x:c>
      <x:c r="B62" s="13">
        <x:v>450</x:v>
      </x:c>
      <x:c r="C62" s="20"/>
      <x:c r="D62" s="13"/>
      <x:c r="E62" s="13">
        <x:v>736</x:v>
      </x:c>
      <x:c r="F62" s="13"/>
      <x:c r="G62" s="13">
        <x:v>24</x:v>
      </x:c>
    </x:row>
    <x:row r="63">
      <x:c r="A63" s="13" t="n">
        <x:f>A60</x:f>
        <x:v>800</x:v>
      </x:c>
      <x:c r="B63" s="13">
        <x:v>450</x:v>
      </x:c>
      <x:c r="C63" s="13">
        <x:v>240</x:v>
      </x:c>
      <x:c r="D63" s="13"/>
      <x:c r="E63" s="13"/>
      <x:c r="F63" s="13"/>
      <x:c r="G63" s="13"/>
    </x:row>
    <x:row r="64" ht="21">
      <x:c r="A64" s="15" t="s">
        <x:v>14</x:v>
      </x:c>
      <x:c r="B64" s="11" t="s">
        <x:v>4</x:v>
      </x:c>
      <x:c r="C64" s="11" t="s">
        <x:v>6</x:v>
      </x:c>
      <x:c r="I64" s="26" t="s">
        <x:v>2</x:v>
      </x:c>
      <x:c r="J64" s="38" t="s">
        <x:v>3</x:v>
      </x:c>
      <x:c r="K64" s="38"/>
      <x:c r="L64" s="26" t="s">
        <x:v>4</x:v>
      </x:c>
      <x:c r="M64" s="26" t="s">
        <x:v>5</x:v>
      </x:c>
      <x:c r="N64" s="26" t="s">
        <x:v>6</x:v>
      </x:c>
      <x:c r="P64" s="21" t="s">
        <x:v>28</x:v>
      </x:c>
      <x:c r="Q64" s="21" t="s">
        <x:v>6</x:v>
      </x:c>
    </x:row>
    <x:row r="65">
      <x:c r="A65" s="15" t="s">
        <x:v>15</x:v>
      </x:c>
      <x:c r="B65" s="11">
        <x:v>18</x:v>
      </x:c>
      <x:c r="C65" s="11">
        <x:v>2</x:v>
      </x:c>
      <x:c r="I65" t="str">
        <x:f t="shared" ref="I65:I70" si="8">A65</x:f>
        <x:v>側板</x:v>
      </x:c>
      <x:c r="J65" t="n">
        <x:f>B60</x:f>
        <x:v>554</x:v>
      </x:c>
      <x:c r="K65" t="n">
        <x:f>C60</x:f>
        <x:v>2400</x:v>
      </x:c>
      <x:c r="L65" t="n">
        <x:f t="shared" ref="L65:L72" si="9">B65</x:f>
        <x:v>18</x:v>
      </x:c>
      <x:c r="N65" t="n">
        <x:f>C65*$D$2</x:f>
        <x:v>2</x:v>
      </x:c>
      <x:c r="P65" t="s">
        <x:v>29</x:v>
      </x:c>
      <x:c r="Q65" t="n">
        <x:f>N65*2</x:f>
        <x:v>4</x:v>
      </x:c>
    </x:row>
    <x:row r="66">
      <x:c r="A66" s="15" t="s">
        <x:v>16</x:v>
      </x:c>
      <x:c r="B66" s="11">
        <x:v>18</x:v>
      </x:c>
      <x:c r="C66" s="11">
        <x:v>2</x:v>
      </x:c>
      <x:c r="I66" t="str">
        <x:f t="shared" si="8"/>
        <x:v>頂底板</x:v>
      </x:c>
      <x:c r="J66" t="n">
        <x:f>B60</x:f>
        <x:v>554</x:v>
      </x:c>
      <x:c r="K66" t="n">
        <x:f>A60-36</x:f>
        <x:v>764</x:v>
      </x:c>
      <x:c r="L66">
        <x:f t="shared" si="9"/>
        <x:v>18</x:v>
      </x:c>
      <x:c r="N66" t="n">
        <x:f t="shared" ref="N66:N73" si="10">C66*$D$2</x:f>
        <x:v>2</x:v>
      </x:c>
      <x:c r="P66" t="s">
        <x:v>30</x:v>
      </x:c>
      <x:c r="Q66" t="n">
        <x:f>D60*4</x:f>
        <x:v>4</x:v>
      </x:c>
    </x:row>
    <x:row r="67">
      <x:c r="A67" s="15" t="s">
        <x:v>17</x:v>
      </x:c>
      <x:c r="B67" s="11">
        <x:v>18</x:v>
      </x:c>
      <x:c r="C67" s="13">
        <x:v>3</x:v>
      </x:c>
      <x:c r="I67" t="str">
        <x:f t="shared" si="8"/>
        <x:v>固隔</x:v>
      </x:c>
      <x:c r="J67" t="n">
        <x:f>B60-29</x:f>
        <x:v>525</x:v>
      </x:c>
      <x:c r="K67" t="n">
        <x:f>A60-36</x:f>
        <x:v>764</x:v>
      </x:c>
      <x:c r="L67">
        <x:f t="shared" si="9"/>
        <x:v>18</x:v>
      </x:c>
      <x:c r="N67">
        <x:f t="shared" si="10"/>
        <x:v>3</x:v>
      </x:c>
      <x:c r="P67" t="s">
        <x:v>31</x:v>
      </x:c>
      <x:c r="Q67" t="n">
        <x:f>N67*4</x:f>
        <x:v>12</x:v>
      </x:c>
    </x:row>
    <x:row r="68">
      <x:c r="A68" s="15" t="s">
        <x:v>18</x:v>
      </x:c>
      <x:c r="B68" s="11">
        <x:v>18</x:v>
      </x:c>
      <x:c r="C68" s="13">
        <x:v>4</x:v>
      </x:c>
      <x:c r="I68" t="str">
        <x:f t="shared" si="8"/>
        <x:v>活隔</x:v>
      </x:c>
      <x:c r="J68" t="n">
        <x:f>B60-44</x:f>
        <x:v>510</x:v>
      </x:c>
      <x:c r="K68" t="n">
        <x:f>A60-37</x:f>
        <x:v>763</x:v>
      </x:c>
      <x:c r="L68">
        <x:f t="shared" si="9"/>
        <x:v>18</x:v>
      </x:c>
      <x:c r="N68">
        <x:f t="shared" si="10"/>
        <x:v>4</x:v>
      </x:c>
      <x:c r="P68" t="s">
        <x:v>32</x:v>
      </x:c>
      <x:c r="Q68" t="n">
        <x:f>N68*4</x:f>
        <x:v>16</x:v>
      </x:c>
    </x:row>
    <x:row r="69">
      <x:c r="A69" s="15" t="s">
        <x:v>33</x:v>
      </x:c>
      <x:c r="B69" s="11">
        <x:v>8</x:v>
      </x:c>
      <x:c r="C69" s="11">
        <x:v>1</x:v>
      </x:c>
      <x:c r="I69" t="str">
        <x:f t="shared" si="8"/>
        <x:v>背板</x:v>
      </x:c>
      <x:c r="J69" t="n">
        <x:f>A60-26</x:f>
        <x:v>774</x:v>
      </x:c>
      <x:c r="K69" t="n">
        <x:f>C60-26</x:f>
        <x:v>2374</x:v>
      </x:c>
      <x:c r="L69">
        <x:f t="shared" si="9"/>
        <x:v>8</x:v>
      </x:c>
      <x:c r="N69">
        <x:f t="shared" si="10"/>
        <x:v>1</x:v>
      </x:c>
    </x:row>
    <x:row r="70">
      <x:c r="A70" s="15" t="s">
        <x:v>34</x:v>
      </x:c>
      <x:c r="B70" s="11">
        <x:v>18</x:v>
      </x:c>
      <x:c r="C70" s="11">
        <x:v>1</x:v>
      </x:c>
      <x:c r="I70" t="str">
        <x:f t="shared" si="8"/>
        <x:v>背條</x:v>
      </x:c>
      <x:c r="J70" t="n">
        <x:f>100</x:f>
        <x:v>100</x:v>
      </x:c>
      <x:c r="K70" t="n">
        <x:f>A60-36</x:f>
        <x:v>764</x:v>
      </x:c>
      <x:c r="L70">
        <x:f t="shared" si="9"/>
        <x:v>18</x:v>
      </x:c>
      <x:c r="N70">
        <x:f t="shared" si="10"/>
        <x:v>1</x:v>
      </x:c>
    </x:row>
    <x:row r="71">
      <x:c r="A71" s="15" t="s">
        <x:v>35</x:v>
      </x:c>
      <x:c r="B71" s="11">
        <x:v>18</x:v>
      </x:c>
      <x:c r="C71" s="13">
        <x:v>2</x:v>
      </x:c>
      <x:c r="I71" t="s">
        <x:v>35</x:v>
      </x:c>
      <x:c r="J71" t="n">
        <x:f>(A60/C71)-3</x:f>
        <x:v>397</x:v>
      </x:c>
      <x:c r="K71" t="n">
        <x:f>(C60-E60)-3</x:f>
        <x:v>1917</x:v>
      </x:c>
      <x:c r="L71">
        <x:f t="shared" si="9"/>
        <x:v>18</x:v>
      </x:c>
      <x:c r="N71">
        <x:f t="shared" si="10"/>
        <x:v>2</x:v>
      </x:c>
      <x:c r="P71" t="s">
        <x:v>36</x:v>
      </x:c>
      <x:c r="Q71" t="n">
        <x:f>IF(K71&lt;960,"2",IF(K71&lt;1600,"3",IF(K71&lt;2240,"4",IF(K71&gt;2241,"5"))))*N71</x:f>
        <x:v>8</x:v>
      </x:c>
    </x:row>
    <x:row r="72">
      <x:c r="A72" s="15" t="s">
        <x:v>37</x:v>
      </x:c>
      <x:c r="B72" s="11">
        <x:v>18</x:v>
      </x:c>
      <x:c r="C72" s="13">
        <x:v>2</x:v>
      </x:c>
      <x:c r="I72" t="str">
        <x:f>A72</x:f>
        <x:v>門板(上)</x:v>
      </x:c>
      <x:c r="J72" t="n">
        <x:f>(A60/C72)-3</x:f>
        <x:v>397</x:v>
      </x:c>
      <x:c r="K72" t="n">
        <x:f>E60-3</x:f>
        <x:v>477</x:v>
      </x:c>
      <x:c r="L72">
        <x:f t="shared" si="9"/>
        <x:v>18</x:v>
      </x:c>
      <x:c r="N72">
        <x:f t="shared" si="10"/>
        <x:v>2</x:v>
      </x:c>
      <x:c r="P72" t="s">
        <x:v>36</x:v>
      </x:c>
      <x:c r="Q72" t="n">
        <x:f>IF(K72&lt;960,"2",IF(K72&lt;1600,"3",IF(K72&lt;2240,"4",IF(K72&gt;2241,"5"))))*N72</x:f>
        <x:v>4</x:v>
      </x:c>
    </x:row>
    <x:row r="73">
      <x:c r="N73">
        <x:f t="shared" si="10"/>
        <x:v>0</x:v>
      </x:c>
    </x:row>
    <x:row r="74" ht="21">
      <x:c r="A74" s="15"/>
      <x:c r="B74" s="11"/>
      <x:c r="I74" s="26"/>
      <x:c r="J74" s="38"/>
      <x:c r="K74" s="38"/>
      <x:c r="L74" s="26"/>
      <x:c r="M74" s="26"/>
      <x:c r="N74" s="26"/>
      <x:c r="P74" s="21"/>
      <x:c r="Q74" s="21"/>
    </x:row>
    <x:row r="75">
      <x:c r="A75" s="15"/>
      <x:c r="B75" s="11"/>
      <x:c r="C75" s="18"/>
    </x:row>
    <x:row r="76">
      <x:c r="A76" s="15"/>
      <x:c r="B76" s="11"/>
      <x:c r="C76" s="18"/>
    </x:row>
    <x:row r="77">
      <x:c r="A77" s="15"/>
      <x:c r="B77" s="11"/>
      <x:c r="C77" s="18"/>
    </x:row>
    <x:row r="78">
      <x:c r="B78" s="11"/>
      <x:c r="C78" s="18"/>
    </x:row>
    <x:row r="79">
      <x:c r="B79" s="11"/>
      <x:c r="C79" s="18"/>
    </x:row>
    <x:row r="80">
      <x:c r="B80" s="11"/>
      <x:c r="C80" s="18"/>
    </x:row>
    <x:row r="81">
      <x:c r="B81" s="11"/>
      <x:c r="C81" s="18"/>
    </x:row>
    <x:row r="91">
      <x:c r="A91" s="12" t="s">
        <x:v>70</x:v>
      </x:c>
      <x:c r="B91" s="11">
        <x:v>18</x:v>
      </x:c>
      <x:c r="C91" s="11">
        <x:v>100</x:v>
      </x:c>
      <x:c r="D91" s="11">
        <x:v>2</x:v>
      </x:c>
      <x:c r="E91" s="11"/>
      <x:c r="I91" s="12" t="s">
        <x:v>70</x:v>
      </x:c>
      <x:c r="J91" t="n">
        <x:f>B62</x:f>
        <x:v>450</x:v>
      </x:c>
      <x:c r="K91" t="n">
        <x:f>C91</x:f>
        <x:v>100</x:v>
      </x:c>
      <x:c r="L91" t="n">
        <x:f>B91</x:f>
        <x:v>18</x:v>
      </x:c>
      <x:c r="N91" t="n">
        <x:f>D91*D62</x:f>
        <x:v>0</x:v>
      </x:c>
    </x:row>
    <x:row r="92">
      <x:c r="A92" s="12" t="s">
        <x:v>72</x:v>
      </x:c>
      <x:c r="B92" s="11">
        <x:v>18</x:v>
      </x:c>
      <x:c r="C92" s="11">
        <x:v>100</x:v>
      </x:c>
      <x:c r="D92" s="11">
        <x:v>2</x:v>
      </x:c>
      <x:c r="E92" s="11"/>
      <x:c r="I92" s="12" t="s">
        <x:v>72</x:v>
      </x:c>
      <x:c r="J92" t="n">
        <x:f>C92</x:f>
        <x:v>100</x:v>
      </x:c>
      <x:c r="K92" t="n">
        <x:f>A62-99</x:f>
        <x:v>701</x:v>
      </x:c>
      <x:c r="L92" t="n">
        <x:f t="shared" ref="L92:L98" si="11">B92</x:f>
        <x:v>18</x:v>
      </x:c>
      <x:c r="N92" t="n">
        <x:f>D92*D62</x:f>
        <x:v>0</x:v>
      </x:c>
    </x:row>
    <x:row r="93">
      <x:c r="A93" s="12" t="s">
        <x:v>74</x:v>
      </x:c>
      <x:c r="B93" s="11">
        <x:v>8</x:v>
      </x:c>
      <x:c r="C93" s="11"/>
      <x:c r="D93" s="11">
        <x:v>1</x:v>
      </x:c>
      <x:c r="E93" s="11"/>
      <x:c r="I93" s="12" t="s">
        <x:v>74</x:v>
      </x:c>
      <x:c r="J93" t="n">
        <x:f>J91-26</x:f>
        <x:v>424</x:v>
      </x:c>
      <x:c r="K93" t="n">
        <x:f>K92+10</x:f>
        <x:v>711</x:v>
      </x:c>
      <x:c r="L93">
        <x:f t="shared" si="11"/>
        <x:v>8</x:v>
      </x:c>
      <x:c r="N93" t="n">
        <x:f>D93*D62</x:f>
        <x:v>0</x:v>
      </x:c>
    </x:row>
    <x:row r="94">
      <x:c r="A94" s="12" t="s">
        <x:v>75</x:v>
      </x:c>
      <x:c r="B94" s="11">
        <x:v>18</x:v>
      </x:c>
      <x:c r="C94" s="11"/>
      <x:c r="D94" s="11">
        <x:v>1</x:v>
      </x:c>
      <x:c r="E94" s="11"/>
      <x:c r="I94" s="12" t="s">
        <x:v>75</x:v>
      </x:c>
      <x:c r="J94" t="n">
        <x:f>A63-3</x:f>
        <x:v>797</x:v>
      </x:c>
      <x:c r="K94" t="n">
        <x:f>C62-3</x:f>
        <x:v>-3</x:v>
      </x:c>
      <x:c r="L94">
        <x:f t="shared" si="11"/>
        <x:v>18</x:v>
      </x:c>
      <x:c r="N94" t="n">
        <x:f>D94*D62</x:f>
        <x:v>0</x:v>
      </x:c>
    </x:row>
    <x:row r="95">
      <x:c r="A95" s="12" t="s">
        <x:v>70</x:v>
      </x:c>
      <x:c r="B95" s="11">
        <x:v>18</x:v>
      </x:c>
      <x:c r="C95" s="11">
        <x:v>180</x:v>
      </x:c>
      <x:c r="D95" s="11">
        <x:v>2</x:v>
      </x:c>
      <x:c r="E95" s="11"/>
      <x:c r="I95" s="12" t="s">
        <x:v>70</x:v>
      </x:c>
      <x:c r="J95" t="n">
        <x:f>B73</x:f>
        <x:v>0</x:v>
      </x:c>
      <x:c r="K95" t="n">
        <x:f>C95</x:f>
        <x:v>180</x:v>
      </x:c>
      <x:c r="L95">
        <x:f t="shared" si="11"/>
        <x:v>18</x:v>
      </x:c>
      <x:c r="N95" t="n">
        <x:f>D95*D63</x:f>
        <x:v>0</x:v>
      </x:c>
    </x:row>
    <x:row r="96">
      <x:c r="A96" s="12" t="s">
        <x:v>72</x:v>
      </x:c>
      <x:c r="B96" s="11">
        <x:v>18</x:v>
      </x:c>
      <x:c r="C96" s="11">
        <x:v>180</x:v>
      </x:c>
      <x:c r="D96" s="11">
        <x:v>2</x:v>
      </x:c>
      <x:c r="E96" s="11"/>
      <x:c r="I96" s="12" t="s">
        <x:v>72</x:v>
      </x:c>
      <x:c r="J96">
        <x:v>180</x:v>
      </x:c>
      <x:c r="K96" t="n">
        <x:f>A73-99-50</x:f>
        <x:v>-149</x:v>
      </x:c>
      <x:c r="L96">
        <x:f t="shared" si="11"/>
        <x:v>18</x:v>
      </x:c>
      <x:c r="N96" t="n">
        <x:f>D96*D63</x:f>
        <x:v>0</x:v>
      </x:c>
    </x:row>
    <x:row r="97">
      <x:c r="A97" s="12" t="s">
        <x:v>74</x:v>
      </x:c>
      <x:c r="B97" s="11">
        <x:v>8</x:v>
      </x:c>
      <x:c r="C97" s="11"/>
      <x:c r="D97" s="11">
        <x:v>1</x:v>
      </x:c>
      <x:c r="E97" s="11"/>
      <x:c r="I97" s="12" t="s">
        <x:v>74</x:v>
      </x:c>
      <x:c r="J97">
        <x:v>180</x:v>
      </x:c>
      <x:c r="K97" t="n">
        <x:f>K96+10</x:f>
        <x:v>-139</x:v>
      </x:c>
      <x:c r="L97">
        <x:f t="shared" si="11"/>
        <x:v>8</x:v>
      </x:c>
      <x:c r="N97" t="n">
        <x:f>D97*D63</x:f>
        <x:v>0</x:v>
      </x:c>
    </x:row>
    <x:row r="98">
      <x:c r="A98" s="12" t="s">
        <x:v>75</x:v>
      </x:c>
      <x:c r="B98" s="11">
        <x:v>18</x:v>
      </x:c>
      <x:c r="C98" s="11"/>
      <x:c r="D98" s="11">
        <x:v>1</x:v>
      </x:c>
      <x:c r="E98" s="11"/>
      <x:c r="I98" s="12" t="s">
        <x:v>75</x:v>
      </x:c>
      <x:c r="J98" t="n">
        <x:f>A63-3</x:f>
        <x:v>797</x:v>
      </x:c>
      <x:c r="K98" t="n">
        <x:f>C63-3</x:f>
        <x:v>237</x:v>
      </x:c>
      <x:c r="L98">
        <x:f t="shared" si="11"/>
        <x:v>18</x:v>
      </x:c>
      <x:c r="N98" t="n">
        <x:f>D98*D63</x:f>
        <x:v>0</x:v>
      </x:c>
    </x:row>
  </x:sheetData>
  <x:mergeCells>
    <x:mergeCell ref="J74:K74"/>
    <x:mergeCell ref="J3:K3"/>
    <x:mergeCell ref="J14:K14"/>
    <x:mergeCell ref="J31:K31"/>
    <x:mergeCell ref="J44:K44"/>
    <x:mergeCell ref="J64:K64"/>
  </x:mergeCells>
  <x:dataValidations count="1">
    <x:dataValidation type="whole" operator="lessThanOrEqual" allowBlank="1" showInputMessage="1" showErrorMessage="1" sqref="J4:J7 J65:J68">
      <x:formula1>600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15.25" customWidth="1"/>
    <x:col min="2" max="2" width="5.5" customWidth="1"/>
    <x:col min="3" max="3" width="9.25" customWidth="1"/>
    <x:col min="4" max="4" width="5.5" customWidth="1"/>
    <x:col min="6" max="6" width="13.625" customWidth="1"/>
    <x:col min="7" max="8" width="9.5" customWidth="1"/>
    <x:col min="9" max="9" width="13.87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2400</x:v>
      </x:c>
      <x:c r="D2" s="13">
        <x:v>1</x:v>
      </x:c>
      <x:c r="E2" s="16">
        <x:v>480</x:v>
      </x:c>
      <x:c r="F2" s="14">
        <x:v>24</x:v>
      </x:c>
      <x:c r="G2" s="14">
        <x:v>350</x:v>
      </x:c>
      <x:c r="H2" s="14"/>
    </x:row>
    <x:row r="3">
      <x:c r="A3" s="11" t="s">
        <x:v>22</x:v>
      </x:c>
      <x:c r="B3" s="11" t="s">
        <x:v>23</x:v>
      </x:c>
      <x:c r="C3" s="11" t="s">
        <x:v>64</x:v>
      </x:c>
      <x:c r="D3" s="11" t="s">
        <x:v>6</x:v>
      </x:c>
      <x:c r="E3" s="11" t="s">
        <x:v>78</x:v>
      </x:c>
      <x:c r="F3" s="11" t="s">
        <x:v>79</x:v>
      </x:c>
      <x:c r="G3" s="11" t="s">
        <x:v>67</x:v>
      </x:c>
      <x:c r="H3" s="11" t="s">
        <x:v>80</x:v>
      </x:c>
    </x:row>
    <x:row r="4">
      <x:c r="A4" s="13" t="n">
        <x:f>A2</x:f>
        <x:v>800</x:v>
      </x:c>
      <x:c r="B4" s="13">
        <x:v>450</x:v>
      </x:c>
      <x:c r="C4" s="20" t="n">
        <x:f>E4-9-(C5*D5)-(F4*G4)</x:f>
        <x:v>175</x:v>
      </x:c>
      <x:c r="D4" s="13">
        <x:v>1</x:v>
      </x:c>
      <x:c r="E4" s="13">
        <x:v>736</x:v>
      </x:c>
      <x:c r="F4" s="13">
        <x:v>3</x:v>
      </x:c>
      <x:c r="G4" s="13">
        <x:v>24</x:v>
      </x:c>
      <x:c r="H4" s="13">
        <x:v>1</x:v>
      </x:c>
    </x:row>
    <x:row r="5">
      <x:c r="A5" s="13" t="n">
        <x:f>A2</x:f>
        <x:v>800</x:v>
      </x:c>
      <x:c r="B5" s="13">
        <x:v>450</x:v>
      </x:c>
      <x:c r="C5" s="13">
        <x:v>240</x:v>
      </x:c>
      <x:c r="D5" s="13">
        <x:v>2</x:v>
      </x:c>
      <x:c r="E5" s="13"/>
      <x:c r="F5" s="13"/>
      <x:c r="G5" s="13"/>
    </x:row>
    <x:row r="6" ht="21">
      <x:c r="A6" s="15" t="s">
        <x:v>14</x:v>
      </x:c>
      <x:c r="B6" s="11" t="s">
        <x:v>4</x:v>
      </x:c>
      <x:c r="C6" s="11" t="s">
        <x:v>6</x:v>
      </x:c>
      <x:c r="D6" s="11"/>
      <x:c r="E6" s="11"/>
      <x:c r="I6" s="26" t="s">
        <x:v>2</x:v>
      </x:c>
      <x:c r="J6" s="38" t="s">
        <x:v>3</x:v>
      </x:c>
      <x:c r="K6" s="38"/>
      <x:c r="L6" s="26" t="s">
        <x:v>4</x:v>
      </x:c>
      <x:c r="M6" s="26" t="s">
        <x:v>5</x:v>
      </x:c>
      <x:c r="N6" s="26" t="s">
        <x:v>6</x:v>
      </x:c>
      <x:c r="P6" s="21" t="s">
        <x:v>28</x:v>
      </x:c>
      <x:c r="Q6" s="21" t="s">
        <x:v>6</x:v>
      </x:c>
    </x:row>
    <x:row r="7">
      <x:c r="A7" s="15" t="s">
        <x:v>15</x:v>
      </x:c>
      <x:c r="B7" s="11">
        <x:v>18</x:v>
      </x:c>
      <x:c r="C7" s="11">
        <x:v>2</x:v>
      </x:c>
      <x:c r="D7" s="11"/>
      <x:c r="E7" s="11"/>
      <x:c r="I7" t="str">
        <x:f t="shared" ref="I7:I12" si="0">A7</x:f>
        <x:v>側板</x:v>
      </x:c>
      <x:c r="J7" t="n">
        <x:f>B2</x:f>
        <x:v>554</x:v>
      </x:c>
      <x:c r="K7" t="n">
        <x:f>C2</x:f>
        <x:v>2400</x:v>
      </x:c>
      <x:c r="L7" t="n">
        <x:f t="shared" ref="L7:L14" si="1">B7</x:f>
        <x:v>18</x:v>
      </x:c>
      <x:c r="N7" t="n">
        <x:f>C7*$D$2</x:f>
        <x:v>2</x:v>
      </x:c>
      <x:c r="P7" t="s">
        <x:v>29</x:v>
      </x:c>
      <x:c r="Q7" t="n">
        <x:f>N7*2</x:f>
        <x:v>4</x:v>
      </x:c>
    </x:row>
    <x:row r="8">
      <x:c r="A8" s="15" t="s">
        <x:v>16</x:v>
      </x:c>
      <x:c r="B8" s="11">
        <x:v>18</x:v>
      </x:c>
      <x:c r="C8" s="11">
        <x:v>2</x:v>
      </x:c>
      <x:c r="D8" s="11"/>
      <x:c r="E8" s="11"/>
      <x:c r="I8" t="str">
        <x:f t="shared" si="0"/>
        <x:v>頂底板</x:v>
      </x:c>
      <x:c r="J8" t="n">
        <x:f>B2</x:f>
        <x:v>554</x:v>
      </x:c>
      <x:c r="K8" t="n">
        <x:f>A2-36</x:f>
        <x:v>764</x:v>
      </x:c>
      <x:c r="L8">
        <x:f t="shared" si="1"/>
        <x:v>18</x:v>
      </x:c>
      <x:c r="N8" t="n">
        <x:f t="shared" ref="N8:N31" si="2">C8*$D$2</x:f>
        <x:v>2</x:v>
      </x:c>
      <x:c r="P8" t="s">
        <x:v>30</x:v>
      </x:c>
      <x:c r="Q8" t="n">
        <x:f>D2*4</x:f>
        <x:v>4</x:v>
      </x:c>
    </x:row>
    <x:row r="9">
      <x:c r="A9" s="15" t="s">
        <x:v>17</x:v>
      </x:c>
      <x:c r="B9" s="11">
        <x:v>18</x:v>
      </x:c>
      <x:c r="C9" s="13">
        <x:v>3</x:v>
      </x:c>
      <x:c r="D9" s="11"/>
      <x:c r="E9" s="11"/>
      <x:c r="I9" t="str">
        <x:f t="shared" si="0"/>
        <x:v>固隔</x:v>
      </x:c>
      <x:c r="J9" t="n">
        <x:f>B2-29</x:f>
        <x:v>525</x:v>
      </x:c>
      <x:c r="K9" t="n">
        <x:f>A2-36</x:f>
        <x:v>764</x:v>
      </x:c>
      <x:c r="L9">
        <x:f t="shared" si="1"/>
        <x:v>18</x:v>
      </x:c>
      <x:c r="N9">
        <x:f t="shared" si="2"/>
        <x:v>3</x:v>
      </x:c>
      <x:c r="P9" t="s">
        <x:v>31</x:v>
      </x:c>
      <x:c r="Q9" t="n">
        <x:f>N9*4</x:f>
        <x:v>12</x:v>
      </x:c>
    </x:row>
    <x:row r="10">
      <x:c r="A10" s="15" t="s">
        <x:v>18</x:v>
      </x:c>
      <x:c r="B10" s="11">
        <x:v>18</x:v>
      </x:c>
      <x:c r="C10" s="13">
        <x:v>4</x:v>
      </x:c>
      <x:c r="D10" s="11"/>
      <x:c r="E10" s="11"/>
      <x:c r="I10" t="str">
        <x:f t="shared" si="0"/>
        <x:v>活隔</x:v>
      </x:c>
      <x:c r="J10" t="n">
        <x:f>B2-44</x:f>
        <x:v>510</x:v>
      </x:c>
      <x:c r="K10" t="n">
        <x:f>A2-37</x:f>
        <x:v>763</x:v>
      </x:c>
      <x:c r="L10">
        <x:f t="shared" si="1"/>
        <x:v>18</x:v>
      </x:c>
      <x:c r="N10">
        <x:f t="shared" si="2"/>
        <x:v>4</x:v>
      </x:c>
      <x:c r="P10" t="s">
        <x:v>32</x:v>
      </x:c>
      <x:c r="Q10" t="n">
        <x:f>N10*4</x:f>
        <x:v>16</x:v>
      </x:c>
    </x:row>
    <x:row r="11">
      <x:c r="A11" s="15" t="s">
        <x:v>33</x:v>
      </x:c>
      <x:c r="B11" s="11">
        <x:v>8</x:v>
      </x:c>
      <x:c r="C11" s="11">
        <x:v>1</x:v>
      </x:c>
      <x:c r="D11" s="11"/>
      <x:c r="E11" s="11"/>
      <x:c r="I11" t="str">
        <x:f t="shared" si="0"/>
        <x:v>背板</x:v>
      </x:c>
      <x:c r="J11" t="n">
        <x:f>A2-26</x:f>
        <x:v>774</x:v>
      </x:c>
      <x:c r="K11" t="n">
        <x:f>C2-26</x:f>
        <x:v>2374</x:v>
      </x:c>
      <x:c r="L11">
        <x:f t="shared" si="1"/>
        <x:v>8</x:v>
      </x:c>
      <x:c r="N11">
        <x:f t="shared" si="2"/>
        <x:v>1</x:v>
      </x:c>
    </x:row>
    <x:row r="12">
      <x:c r="A12" s="15" t="s">
        <x:v>34</x:v>
      </x:c>
      <x:c r="B12" s="11">
        <x:v>18</x:v>
      </x:c>
      <x:c r="C12" s="11">
        <x:v>1</x:v>
      </x:c>
      <x:c r="D12" s="11"/>
      <x:c r="E12" s="11"/>
      <x:c r="I12" t="str">
        <x:f t="shared" si="0"/>
        <x:v>背條</x:v>
      </x:c>
      <x:c r="J12" t="n">
        <x:f>100</x:f>
        <x:v>100</x:v>
      </x:c>
      <x:c r="K12" t="n">
        <x:f>A2-36</x:f>
        <x:v>764</x:v>
      </x:c>
      <x:c r="L12">
        <x:f t="shared" si="1"/>
        <x:v>18</x:v>
      </x:c>
      <x:c r="N12">
        <x:f t="shared" si="2"/>
        <x:v>1</x:v>
      </x:c>
    </x:row>
    <x:row r="13">
      <x:c r="A13" s="15" t="s">
        <x:v>35</x:v>
      </x:c>
      <x:c r="B13" s="11">
        <x:v>18</x:v>
      </x:c>
      <x:c r="C13" s="13">
        <x:v>2</x:v>
      </x:c>
      <x:c r="I13" t="s">
        <x:v>35</x:v>
      </x:c>
      <x:c r="J13" t="n">
        <x:f>(A2/C13)-3</x:f>
        <x:v>397</x:v>
      </x:c>
      <x:c r="K13" t="n">
        <x:f>(C2-E2)-3</x:f>
        <x:v>1917</x:v>
      </x:c>
      <x:c r="L13">
        <x:f t="shared" si="1"/>
        <x:v>18</x:v>
      </x:c>
      <x:c r="N13">
        <x:f t="shared" si="2"/>
        <x:v>2</x:v>
      </x:c>
      <x:c r="P13" t="s">
        <x:v>36</x:v>
      </x:c>
      <x:c r="Q13" t="n">
        <x:f>IF(K13&lt;960,"2",IF(K13&lt;1600,"3",IF(K13&lt;2240,"4",IF(K13&gt;2241,"5"))))*N13</x:f>
        <x:v>8</x:v>
      </x:c>
    </x:row>
    <x:row r="14">
      <x:c r="A14" s="15" t="s">
        <x:v>37</x:v>
      </x:c>
      <x:c r="B14" s="11">
        <x:v>18</x:v>
      </x:c>
      <x:c r="C14" s="13">
        <x:v>2</x:v>
      </x:c>
      <x:c r="I14" t="str">
        <x:f>A14</x:f>
        <x:v>門板(上)</x:v>
      </x:c>
      <x:c r="J14" t="n">
        <x:f>(A2/C14)-3</x:f>
        <x:v>397</x:v>
      </x:c>
      <x:c r="K14" t="n">
        <x:f>E2-3</x:f>
        <x:v>477</x:v>
      </x:c>
      <x:c r="L14">
        <x:f t="shared" si="1"/>
        <x:v>18</x:v>
      </x:c>
      <x:c r="N14">
        <x:f t="shared" si="2"/>
        <x:v>2</x:v>
      </x:c>
      <x:c r="P14" t="s">
        <x:v>36</x:v>
      </x:c>
      <x:c r="Q14" t="n">
        <x:f>IF(K14&lt;960,"2",IF(K14&lt;1600,"3",IF(K14&lt;2240,"4",IF(K14&gt;2241,"5"))))*N14</x:f>
        <x:v>4</x:v>
      </x:c>
    </x:row>
    <x:row r="15">
      <x:c r="A15" s="15"/>
      <x:c r="B15" s="11"/>
      <x:c r="C15" s="16"/>
      <x:c r="N15">
        <x:f t="shared" si="2"/>
        <x:v>0</x:v>
      </x:c>
    </x:row>
    <x:row r="16">
      <x:c r="A16" s="15"/>
      <x:c r="B16" s="11"/>
      <x:c r="C16" s="16"/>
      <x:c r="N16">
        <x:f t="shared" si="2"/>
        <x:v>0</x:v>
      </x:c>
    </x:row>
    <x:row r="17" ht="21">
      <x:c r="A17" s="15" t="s">
        <x:v>38</x:v>
      </x:c>
      <x:c r="B17" s="11"/>
      <x:c r="I17" s="26" t="s">
        <x:v>2</x:v>
      </x:c>
      <x:c r="J17" s="38" t="s">
        <x:v>3</x:v>
      </x:c>
      <x:c r="K17" s="38"/>
      <x:c r="L17" s="26" t="s">
        <x:v>4</x:v>
      </x:c>
      <x:c r="M17" s="26" t="s">
        <x:v>5</x:v>
      </x:c>
      <x:c r="N17" s="26" t="s">
        <x:v>6</x:v>
      </x:c>
      <x:c r="P17" s="21" t="s">
        <x:v>28</x:v>
      </x:c>
      <x:c r="Q17" s="21" t="s">
        <x:v>6</x:v>
      </x:c>
    </x:row>
    <x:row r="18">
      <x:c r="A18" s="33" t="s">
        <x:v>39</x:v>
      </x:c>
      <x:c r="B18" s="34">
        <x:v>18</x:v>
      </x:c>
      <x:c r="C18" s="31">
        <x:v>0</x:v>
      </x:c>
      <x:c r="I18" s="35" t="str">
        <x:f t="shared" ref="I18:I25" si="3">A18</x:f>
        <x:v>門板(斜)</x:v>
      </x:c>
      <x:c r="J18" s="35" t="e">
        <x:f>(A2-F2)/C18</x:f>
      </x:c>
      <x:c r="K18" s="35" t="n">
        <x:f>(C2-E4)+9</x:f>
        <x:v>1673</x:v>
      </x:c>
      <x:c r="L18" t="n">
        <x:f>B18</x:f>
        <x:v>18</x:v>
      </x:c>
      <x:c r="N18">
        <x:f t="shared" si="2"/>
        <x:v>0</x:v>
      </x:c>
      <x:c r="P18" t="s">
        <x:v>36</x:v>
      </x:c>
      <x:c r="Q18" t="n">
        <x:f>IF(K18&lt;960,"2",IF(K18&lt;1600,"3",IF(K18&lt;2240,"4",IF(K18&gt;2241,"5"))))*N18</x:f>
        <x:v>0</x:v>
      </x:c>
    </x:row>
    <x:row r="19">
      <x:c r="A19" s="28" t="s">
        <x:v>40</x:v>
      </x:c>
      <x:c r="B19" s="29">
        <x:v>18</x:v>
      </x:c>
      <x:c r="C19" s="30">
        <x:v>2</x:v>
      </x:c>
      <x:c r="I19" s="30" t="str">
        <x:f t="shared" si="3"/>
        <x:v>門板斜(上)</x:v>
      </x:c>
      <x:c r="J19" s="30" t="n">
        <x:f>(A2/C19)-3</x:f>
        <x:v>397</x:v>
      </x:c>
      <x:c r="K19" s="30" t="n">
        <x:f>E2+9</x:f>
        <x:v>489</x:v>
      </x:c>
      <x:c r="L19" t="n">
        <x:f>B18</x:f>
        <x:v>18</x:v>
      </x:c>
      <x:c r="N19">
        <x:f t="shared" si="2"/>
        <x:v>2</x:v>
      </x:c>
      <x:c r="P19" t="s">
        <x:v>36</x:v>
      </x:c>
      <x:c r="Q19" t="n">
        <x:f>IF(K19&lt;960,"2",IF(K19&lt;1600,"3",IF(K19&lt;2240,"4",IF(K19&gt;2241,"5"))))*N19</x:f>
        <x:v>4</x:v>
      </x:c>
    </x:row>
    <x:row r="20">
      <x:c r="A20" s="28" t="s">
        <x:v>41</x:v>
      </x:c>
      <x:c r="B20" s="29">
        <x:v>18</x:v>
      </x:c>
      <x:c r="C20" s="30">
        <x:v>2</x:v>
      </x:c>
      <x:c r="I20" s="30" t="str">
        <x:f t="shared" si="3"/>
        <x:v>門板斜(下)</x:v>
      </x:c>
      <x:c r="J20" s="30" t="n">
        <x:f>(A2/C20)-3</x:f>
        <x:v>397</x:v>
      </x:c>
      <x:c r="K20" s="30" t="n">
        <x:f>(C2-E4+9)-(E2+9)-24</x:f>
        <x:v>1160</x:v>
      </x:c>
      <x:c r="L20" t="n">
        <x:f>B20</x:f>
        <x:v>18</x:v>
      </x:c>
      <x:c r="N20">
        <x:f t="shared" si="2"/>
        <x:v>2</x:v>
      </x:c>
      <x:c r="P20" t="s">
        <x:v>36</x:v>
      </x:c>
      <x:c r="Q20" t="n">
        <x:f>IF(K20&lt;960,"2",IF(K20&lt;1600,"3",IF(K20&lt;2240,"4",IF(K20&gt;2241,"5"))))*N20</x:f>
        <x:v>6</x:v>
      </x:c>
    </x:row>
    <x:row r="21">
      <x:c r="A21" s="18" t="s">
        <x:v>42</x:v>
      </x:c>
      <x:c r="B21" s="13">
        <x:v>18</x:v>
      </x:c>
      <x:c r="C21" s="18">
        <x:v>1</x:v>
      </x:c>
      <x:c r="I21" s="18" t="str">
        <x:f t="shared" si="3"/>
        <x:v>內退固隔(退19)</x:v>
      </x:c>
      <x:c r="J21" s="18" t="n">
        <x:f>A2-36</x:f>
        <x:v>764</x:v>
      </x:c>
      <x:c r="K21" s="18" t="n">
        <x:f>B2-48</x:f>
        <x:v>506</x:v>
      </x:c>
      <x:c r="L21" s="18" t="n">
        <x:f>B21</x:f>
        <x:v>18</x:v>
      </x:c>
      <x:c r="N21">
        <x:f t="shared" si="2"/>
        <x:v>1</x:v>
      </x:c>
      <x:c r="P21" t="s">
        <x:v>31</x:v>
      </x:c>
      <x:c r="Q21" t="n">
        <x:f>N21*4</x:f>
        <x:v>4</x:v>
      </x:c>
    </x:row>
    <x:row r="22">
      <x:c r="A22" s="18" t="s">
        <x:v>43</x:v>
      </x:c>
      <x:c r="B22" s="13">
        <x:v>18</x:v>
      </x:c>
      <x:c r="C22" s="18">
        <x:v>2</x:v>
      </x:c>
      <x:c r="I22" s="18" t="str">
        <x:f t="shared" si="3"/>
        <x:v>橫擋板</x:v>
      </x:c>
      <x:c r="J22" s="18" t="n">
        <x:f>60</x:f>
        <x:v>60</x:v>
      </x:c>
      <x:c r="K22" s="18" t="n">
        <x:f>A2-36</x:f>
        <x:v>764</x:v>
      </x:c>
      <x:c r="L22" s="18" t="n">
        <x:f>B22</x:f>
        <x:v>18</x:v>
      </x:c>
      <x:c r="N22">
        <x:f t="shared" si="2"/>
        <x:v>2</x:v>
      </x:c>
      <x:c r="P22" t="s">
        <x:v>30</x:v>
      </x:c>
      <x:c r="Q22" t="n">
        <x:f>N26</x:f>
        <x:v>0</x:v>
      </x:c>
    </x:row>
    <x:row r="23">
      <x:c r="A23" s="31" t="s">
        <x:v>44</x:v>
      </x:c>
      <x:c r="B23" s="32">
        <x:v>8</x:v>
      </x:c>
      <x:c r="C23" s="31">
        <x:v>1</x:v>
      </x:c>
      <x:c r="I23" s="31" t="str">
        <x:f t="shared" si="3"/>
        <x:v>立擋板(斜)</x:v>
      </x:c>
      <x:c r="J23" s="31" t="n">
        <x:f>70</x:f>
        <x:v>70</x:v>
      </x:c>
      <x:c r="K23" s="31" t="n">
        <x:f>C2-41</x:f>
        <x:v>2359</x:v>
      </x:c>
      <x:c r="L23" t="n">
        <x:f>B23</x:f>
        <x:v>8</x:v>
      </x:c>
      <x:c r="N23">
        <x:f t="shared" si="2"/>
        <x:v>1</x:v>
      </x:c>
      <x:c r="P23" t="s">
        <x:v>30</x:v>
      </x:c>
      <x:c r="Q23" t="n">
        <x:f>N27</x:f>
        <x:v>0</x:v>
      </x:c>
    </x:row>
    <x:row r="24">
      <x:c r="A24" s="30" t="s">
        <x:v>45</x:v>
      </x:c>
      <x:c r="B24" s="29">
        <x:v>8</x:v>
      </x:c>
      <x:c r="C24" s="30"/>
      <x:c r="I24" s="30" t="str">
        <x:f t="shared" si="3"/>
        <x:v>立擋板(下)</x:v>
      </x:c>
      <x:c r="J24" s="30" t="n">
        <x:f>70</x:f>
        <x:v>70</x:v>
      </x:c>
      <x:c r="K24" s="30" t="n">
        <x:f>C2-E2-74</x:f>
        <x:v>1846</x:v>
      </x:c>
      <x:c r="L24" t="n">
        <x:f>B24</x:f>
        <x:v>8</x:v>
      </x:c>
      <x:c r="N24">
        <x:f t="shared" si="2"/>
        <x:v>0</x:v>
      </x:c>
    </x:row>
    <x:row r="25">
      <x:c r="A25" s="30" t="s">
        <x:v>46</x:v>
      </x:c>
      <x:c r="B25" s="30">
        <x:v>18</x:v>
      </x:c>
      <x:c r="C25" s="30"/>
      <x:c r="I25" s="30" t="str">
        <x:f t="shared" si="3"/>
        <x:v>內退固隔(退10)</x:v>
      </x:c>
      <x:c r="J25" s="30" t="n">
        <x:f>B2-39</x:f>
        <x:v>515</x:v>
      </x:c>
      <x:c r="K25" s="30" t="n">
        <x:f>A2-36</x:f>
        <x:v>764</x:v>
      </x:c>
      <x:c r="L25">
        <x:v>18</x:v>
      </x:c>
      <x:c r="N25">
        <x:f t="shared" si="2"/>
        <x:v>0</x:v>
      </x:c>
    </x:row>
    <x:row r="26">
      <x:c r="A26" t="s">
        <x:v>47</x:v>
      </x:c>
      <x:c r="B26" s="11">
        <x:v>18</x:v>
      </x:c>
      <x:c r="C26" s="22"/>
      <x:c r="I26" t="str">
        <x:f t="shared" ref="I26:I31" si="4">A26</x:f>
        <x:v>中立板到頂</x:v>
      </x:c>
      <x:c r="J26" t="n">
        <x:f>B2-29</x:f>
        <x:v>525</x:v>
      </x:c>
      <x:c r="K26" t="n">
        <x:f>C2-36</x:f>
        <x:v>2364</x:v>
      </x:c>
      <x:c r="L26" t="n">
        <x:f>B26</x:f>
        <x:v>18</x:v>
      </x:c>
      <x:c r="N26" t="n">
        <x:f>C26*$D$2</x:f>
        <x:v>0</x:v>
      </x:c>
      <x:c r="P26" t="s">
        <x:v>31</x:v>
      </x:c>
      <x:c r="Q26" t="n">
        <x:f>N26*4</x:f>
        <x:v>0</x:v>
      </x:c>
    </x:row>
    <x:row r="27">
      <x:c r="A27" t="s">
        <x:v>48</x:v>
      </x:c>
      <x:c r="B27" s="11">
        <x:v>18</x:v>
      </x:c>
      <x:c r="C27" s="22"/>
      <x:c r="I27" t="str">
        <x:f t="shared" si="4"/>
        <x:v>中立板到固隔</x:v>
      </x:c>
      <x:c r="J27" t="n">
        <x:f>B2-29</x:f>
        <x:v>525</x:v>
      </x:c>
      <x:c r="K27" t="n">
        <x:f>C2-E2-27</x:f>
        <x:v>1893</x:v>
      </x:c>
      <x:c r="L27" t="n">
        <x:f>B27</x:f>
        <x:v>18</x:v>
      </x:c>
      <x:c r="N27">
        <x:f t="shared" si="2"/>
        <x:v>0</x:v>
      </x:c>
      <x:c r="P27" t="s">
        <x:v>31</x:v>
      </x:c>
      <x:c r="Q27" t="n">
        <x:f>N27*4</x:f>
        <x:v>0</x:v>
      </x:c>
    </x:row>
    <x:row r="28">
      <x:c r="A28" t="s">
        <x:v>49</x:v>
      </x:c>
      <x:c r="B28" s="11">
        <x:v>18</x:v>
      </x:c>
      <x:c r="C28" s="22"/>
      <x:c r="I28" t="str">
        <x:f t="shared" si="4"/>
        <x:v>左固隔</x:v>
      </x:c>
      <x:c r="J28" t="n">
        <x:f>B2-29</x:f>
        <x:v>525</x:v>
      </x:c>
      <x:c r="K28" t="n">
        <x:f>G2-27</x:f>
        <x:v>323</x:v>
      </x:c>
      <x:c r="L28" t="n">
        <x:f>B28</x:f>
        <x:v>18</x:v>
      </x:c>
      <x:c r="N28">
        <x:f t="shared" si="2"/>
        <x:v>0</x:v>
      </x:c>
      <x:c r="P28" t="s">
        <x:v>31</x:v>
      </x:c>
      <x:c r="Q28" t="n">
        <x:f>N28*4</x:f>
        <x:v>0</x:v>
      </x:c>
    </x:row>
    <x:row r="29">
      <x:c r="A29" t="s">
        <x:v>50</x:v>
      </x:c>
      <x:c r="B29" s="11">
        <x:v>18</x:v>
      </x:c>
      <x:c r="C29" s="22"/>
      <x:c r="I29" t="str">
        <x:f t="shared" si="4"/>
        <x:v>右固隔</x:v>
      </x:c>
      <x:c r="J29" t="n">
        <x:f>B2-29</x:f>
        <x:v>525</x:v>
      </x:c>
      <x:c r="K29" t="n">
        <x:f>A2-G2-27</x:f>
        <x:v>423</x:v>
      </x:c>
      <x:c r="L29" t="n">
        <x:f>B31</x:f>
        <x:v>18</x:v>
      </x:c>
      <x:c r="N29">
        <x:f t="shared" si="2"/>
        <x:v>0</x:v>
      </x:c>
      <x:c r="P29" t="s">
        <x:v>31</x:v>
      </x:c>
      <x:c r="Q29" t="n">
        <x:f>N29*4</x:f>
        <x:v>0</x:v>
      </x:c>
    </x:row>
    <x:row r="30">
      <x:c r="A30" t="s">
        <x:v>51</x:v>
      </x:c>
      <x:c r="B30" s="11">
        <x:v>18</x:v>
      </x:c>
      <x:c r="C30" s="22"/>
      <x:c r="I30" t="str">
        <x:f t="shared" si="4"/>
        <x:v>左活隔</x:v>
      </x:c>
      <x:c r="J30" t="n">
        <x:f>B2-44</x:f>
        <x:v>510</x:v>
      </x:c>
      <x:c r="K30" t="n">
        <x:f>G2-29</x:f>
        <x:v>321</x:v>
      </x:c>
      <x:c r="L30" t="n">
        <x:f>B30</x:f>
        <x:v>18</x:v>
      </x:c>
      <x:c r="N30">
        <x:f t="shared" si="2"/>
        <x:v>0</x:v>
      </x:c>
    </x:row>
    <x:row r="31">
      <x:c r="A31" t="s">
        <x:v>52</x:v>
      </x:c>
      <x:c r="B31" s="11">
        <x:v>18</x:v>
      </x:c>
      <x:c r="C31" s="22"/>
      <x:c r="I31" t="str">
        <x:f t="shared" si="4"/>
        <x:v>右活隔</x:v>
      </x:c>
      <x:c r="J31" t="n">
        <x:f>B2-44</x:f>
        <x:v>510</x:v>
      </x:c>
      <x:c r="K31" t="n">
        <x:f>A2-G2-29</x:f>
        <x:v>421</x:v>
      </x:c>
      <x:c r="N31">
        <x:f t="shared" si="2"/>
        <x:v>0</x:v>
      </x:c>
    </x:row>
    <x:row r="33">
      <x:c r="A33" s="12" t="s">
        <x:v>70</x:v>
      </x:c>
      <x:c r="B33" s="11">
        <x:v>18</x:v>
      </x:c>
      <x:c r="C33" s="11">
        <x:v>100</x:v>
      </x:c>
      <x:c r="D33" s="11">
        <x:v>2</x:v>
      </x:c>
      <x:c r="I33" t="str">
        <x:f>A33</x:f>
        <x:v>左右抽牆</x:v>
      </x:c>
      <x:c r="J33" t="n">
        <x:f>B4</x:f>
        <x:v>450</x:v>
      </x:c>
      <x:c r="K33" t="n">
        <x:f>C33</x:f>
        <x:v>100</x:v>
      </x:c>
      <x:c r="L33" t="n">
        <x:f>B33</x:f>
        <x:v>18</x:v>
      </x:c>
      <x:c r="N33" t="n">
        <x:f>D33*D4*H4</x:f>
        <x:v>2</x:v>
      </x:c>
      <x:c r="P33" t="s">
        <x:v>81</x:v>
      </x:c>
      <x:c r="Q33" t="n">
        <x:f>N33/2</x:f>
        <x:v>1</x:v>
      </x:c>
    </x:row>
    <x:row r="34">
      <x:c r="A34" s="12" t="s">
        <x:v>72</x:v>
      </x:c>
      <x:c r="B34" s="11">
        <x:v>18</x:v>
      </x:c>
      <x:c r="C34" s="11">
        <x:v>100</x:v>
      </x:c>
      <x:c r="D34" s="11">
        <x:v>2</x:v>
      </x:c>
      <x:c r="I34" t="str">
        <x:f t="shared" ref="I34:I40" si="5">A34</x:f>
        <x:v>前後屜牆</x:v>
      </x:c>
      <x:c r="J34" t="n">
        <x:f>A4-99</x:f>
        <x:v>701</x:v>
      </x:c>
      <x:c r="K34" t="n">
        <x:f>C34</x:f>
        <x:v>100</x:v>
      </x:c>
      <x:c r="L34" t="n">
        <x:f t="shared" ref="L34:L40" si="6">B34</x:f>
        <x:v>18</x:v>
      </x:c>
      <x:c r="N34" t="n">
        <x:f>D34*D4*H4</x:f>
        <x:v>2</x:v>
      </x:c>
      <x:c r="P34" t="s">
        <x:v>73</x:v>
      </x:c>
      <x:c r="Q34" t="n">
        <x:f>N34*4</x:f>
        <x:v>8</x:v>
      </x:c>
    </x:row>
    <x:row r="35">
      <x:c r="A35" s="12" t="s">
        <x:v>74</x:v>
      </x:c>
      <x:c r="B35" s="11">
        <x:v>8</x:v>
      </x:c>
      <x:c r="C35" s="11"/>
      <x:c r="D35" s="11">
        <x:v>1</x:v>
      </x:c>
      <x:c r="I35" t="str">
        <x:f t="shared" si="5"/>
        <x:v>屜底板</x:v>
      </x:c>
      <x:c r="J35" t="n">
        <x:f>J33-26</x:f>
        <x:v>424</x:v>
      </x:c>
      <x:c r="K35" t="n">
        <x:f>J34+10</x:f>
        <x:v>711</x:v>
      </x:c>
      <x:c r="L35">
        <x:f t="shared" si="6"/>
        <x:v>8</x:v>
      </x:c>
      <x:c r="N35" t="n">
        <x:f>D35*D4*H4</x:f>
        <x:v>1</x:v>
      </x:c>
    </x:row>
    <x:row r="36">
      <x:c r="A36" s="12" t="s">
        <x:v>75</x:v>
      </x:c>
      <x:c r="B36" s="11">
        <x:v>18</x:v>
      </x:c>
      <x:c r="C36" s="11"/>
      <x:c r="D36" s="11">
        <x:v>1</x:v>
      </x:c>
      <x:c r="I36" t="str">
        <x:f t="shared" si="5"/>
        <x:v>屜頭</x:v>
      </x:c>
      <x:c r="J36" t="n">
        <x:f>A4-3</x:f>
        <x:v>797</x:v>
      </x:c>
      <x:c r="K36" t="n">
        <x:f>C4</x:f>
        <x:v>175</x:v>
      </x:c>
      <x:c r="L36">
        <x:f t="shared" si="6"/>
        <x:v>18</x:v>
      </x:c>
      <x:c r="N36" t="n">
        <x:f>D36*D4*H4</x:f>
        <x:v>1</x:v>
      </x:c>
    </x:row>
    <x:row r="37">
      <x:c r="A37" s="12" t="s">
        <x:v>70</x:v>
      </x:c>
      <x:c r="B37" s="11">
        <x:v>18</x:v>
      </x:c>
      <x:c r="C37" s="11">
        <x:v>180</x:v>
      </x:c>
      <x:c r="D37" s="11">
        <x:v>2</x:v>
      </x:c>
      <x:c r="I37" t="str">
        <x:f t="shared" si="5"/>
        <x:v>左右抽牆</x:v>
      </x:c>
      <x:c r="J37" t="n">
        <x:f>B5</x:f>
        <x:v>450</x:v>
      </x:c>
      <x:c r="K37" t="n">
        <x:f>C37</x:f>
        <x:v>180</x:v>
      </x:c>
      <x:c r="L37">
        <x:f t="shared" si="6"/>
        <x:v>18</x:v>
      </x:c>
      <x:c r="N37" t="n">
        <x:f>D38*D5*H4</x:f>
        <x:v>4</x:v>
      </x:c>
      <x:c r="P37" t="s">
        <x:v>81</x:v>
      </x:c>
      <x:c r="Q37" t="n">
        <x:f>N37/2</x:f>
        <x:v>2</x:v>
      </x:c>
    </x:row>
    <x:row r="38">
      <x:c r="A38" s="12" t="s">
        <x:v>72</x:v>
      </x:c>
      <x:c r="B38" s="11">
        <x:v>18</x:v>
      </x:c>
      <x:c r="C38" s="11">
        <x:v>180</x:v>
      </x:c>
      <x:c r="D38" s="11">
        <x:v>2</x:v>
      </x:c>
      <x:c r="I38" t="str">
        <x:f t="shared" si="5"/>
        <x:v>前後屜牆</x:v>
      </x:c>
      <x:c r="J38" t="n">
        <x:f>A2-99</x:f>
        <x:v>701</x:v>
      </x:c>
      <x:c r="K38" t="n">
        <x:f>C38</x:f>
        <x:v>180</x:v>
      </x:c>
      <x:c r="L38">
        <x:f t="shared" si="6"/>
        <x:v>18</x:v>
      </x:c>
      <x:c r="N38" t="n">
        <x:f>D38*D5*H4</x:f>
        <x:v>4</x:v>
      </x:c>
      <x:c r="P38" t="s">
        <x:v>73</x:v>
      </x:c>
      <x:c r="Q38" t="n">
        <x:f>N38*4</x:f>
        <x:v>16</x:v>
      </x:c>
    </x:row>
    <x:row r="39">
      <x:c r="A39" s="12" t="s">
        <x:v>74</x:v>
      </x:c>
      <x:c r="B39" s="11">
        <x:v>8</x:v>
      </x:c>
      <x:c r="C39" s="11"/>
      <x:c r="D39" s="11">
        <x:v>1</x:v>
      </x:c>
      <x:c r="I39" t="str">
        <x:f t="shared" si="5"/>
        <x:v>屜底板</x:v>
      </x:c>
      <x:c r="J39" t="n">
        <x:f>J37-26</x:f>
        <x:v>424</x:v>
      </x:c>
      <x:c r="K39" t="n">
        <x:f>J38</x:f>
        <x:v>701</x:v>
      </x:c>
      <x:c r="L39">
        <x:f t="shared" si="6"/>
        <x:v>8</x:v>
      </x:c>
      <x:c r="N39" t="n">
        <x:f>D39*D5*H4</x:f>
        <x:v>2</x:v>
      </x:c>
    </x:row>
    <x:row r="40">
      <x:c r="A40" s="12" t="s">
        <x:v>75</x:v>
      </x:c>
      <x:c r="B40" s="11">
        <x:v>18</x:v>
      </x:c>
      <x:c r="C40" s="11"/>
      <x:c r="D40" s="11">
        <x:v>1</x:v>
      </x:c>
      <x:c r="I40" t="str">
        <x:f t="shared" si="5"/>
        <x:v>屜頭</x:v>
      </x:c>
      <x:c r="J40" t="n">
        <x:f>A4-3</x:f>
        <x:v>797</x:v>
      </x:c>
      <x:c r="K40" t="n">
        <x:f>C5</x:f>
        <x:v>240</x:v>
      </x:c>
      <x:c r="L40">
        <x:f t="shared" si="6"/>
        <x:v>18</x:v>
      </x:c>
      <x:c r="N40" t="n">
        <x:f>D40*D5*H4</x:f>
        <x:v>2</x:v>
      </x:c>
    </x:row>
  </x:sheetData>
  <x:mergeCells>
    <x:mergeCell ref="J6:K6"/>
    <x:mergeCell ref="J17:K17"/>
  </x:mergeCells>
  <x:dataValidations count="1">
    <x:dataValidation type="whole" operator="lessThanOrEqual" allowBlank="1" showInputMessage="1" showErrorMessage="1" sqref="J7:J10">
      <x:formula1>600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sheetData>
    <x:row r="3">
      <x:c r="A3" t="s">
        <x:v>15</x:v>
      </x:c>
      <x:c r="B3">
        <x:v>554</x:v>
      </x:c>
      <x:c r="C3">
        <x:v>1</x:v>
      </x:c>
      <x:c r="D3">
        <x:v>18</x:v>
      </x:c>
      <x:c r="F3">
        <x:v>6</x:v>
      </x:c>
    </x:row>
    <x:row r="4">
      <x:c r="A4" t="s">
        <x:v>16</x:v>
      </x:c>
      <x:c r="B4">
        <x:v>554</x:v>
      </x:c>
      <x:c r="C4">
        <x:v>764</x:v>
      </x:c>
      <x:c r="D4">
        <x:v>18</x:v>
      </x:c>
      <x:c r="F4">
        <x:v>6</x:v>
      </x:c>
    </x:row>
    <x:row r="5">
      <x:c r="A5" t="s">
        <x:v>17</x:v>
      </x:c>
      <x:c r="B5">
        <x:v>525</x:v>
      </x:c>
      <x:c r="C5">
        <x:v>764</x:v>
      </x:c>
      <x:c r="D5">
        <x:v>18</x:v>
      </x:c>
      <x:c r="F5">
        <x:v>12</x:v>
      </x:c>
    </x:row>
    <x:row r="6">
      <x:c r="A6" t="s">
        <x:v>18</x:v>
      </x:c>
      <x:c r="B6">
        <x:v>510</x:v>
      </x:c>
      <x:c r="C6">
        <x:v>763</x:v>
      </x:c>
      <x:c r="D6">
        <x:v>18</x:v>
      </x:c>
      <x:c r="F6">
        <x:v>12</x:v>
      </x:c>
    </x:row>
    <x:row r="7">
      <x:c r="A7" t="s">
        <x:v>33</x:v>
      </x:c>
      <x:c r="B7">
        <x:v>774</x:v>
      </x:c>
      <x:c r="C7">
        <x:v>-25</x:v>
      </x:c>
      <x:c r="D7">
        <x:v>8</x:v>
      </x:c>
      <x:c r="F7">
        <x:v>3</x:v>
      </x:c>
    </x:row>
    <x:row r="8">
      <x:c r="A8" t="s">
        <x:v>34</x:v>
      </x:c>
      <x:c r="B8">
        <x:v>100</x:v>
      </x:c>
      <x:c r="C8">
        <x:v>764</x:v>
      </x:c>
      <x:c r="D8">
        <x:v>18</x:v>
      </x:c>
      <x:c r="F8">
        <x:v>3</x:v>
      </x:c>
    </x:row>
    <x:row r="9">
      <x:c r="A9" t="s">
        <x:v>35</x:v>
      </x:c>
      <x:c r="B9">
        <x:v>397</x:v>
      </x:c>
      <x:c r="C9">
        <x:v>-482</x:v>
      </x:c>
      <x:c r="D9">
        <x:v>18</x:v>
      </x:c>
      <x:c r="F9">
        <x:v>6</x:v>
      </x:c>
    </x:row>
    <x:row r="10">
      <x:c r="A10" t="s">
        <x:v>37</x:v>
      </x:c>
      <x:c r="B10">
        <x:v>397</x:v>
      </x:c>
      <x:c r="C10">
        <x:v>477</x:v>
      </x:c>
      <x:c r="D10">
        <x:v>18</x:v>
      </x:c>
      <x:c r="F10"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.11000061035156" hidden="0" customWidth="1"/>
    <x:col min="2" max="2" width="7.559999942779541" hidden="0" customWidth="1"/>
    <x:col min="3" max="3" width="11.109999656677246" hidden="0" customWidth="1"/>
    <x:col min="4" max="4" width="35.779998779296875" hidden="0" customWidth="1"/>
    <x:col min="5" max="5" width="25.329999923706055" hidden="0" customWidth="1"/>
    <x:col min="6" max="6" width="38.779998779296875" hidden="0" customWidth="1"/>
    <x:col min="7" max="7" width="5.78000020980835" hidden="0" customWidth="1"/>
    <x:col min="8" max="8" width="8.779999732971191" hidden="0" customWidth="1"/>
  </x:cols>
  <x:sheetData>
    <x:row r="1">
      <x:c r="A1" s="83" t="str">
        <x:v>系統櫃自動拆料 V2 — 修正版規則總表</x:v>
      </x:c>
      <x:c r="B1" s="84"/>
      <x:c r="C1" s="84"/>
      <x:c r="D1" s="84"/>
      <x:c r="E1" s="84"/>
      <x:c r="F1" s="84"/>
      <x:c r="G1" s="84"/>
      <x:c r="H1" s="84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87" t="str">
        <x:v>優先順序</x:v>
      </x:c>
      <x:c r="B2" s="88" t="str">
        <x:v>規則分類</x:v>
      </x:c>
      <x:c r="C2" s="88" t="str">
        <x:v>項目</x:v>
      </x:c>
      <x:c r="D2" s="88" t="str">
        <x:v>修正版公式 / 判斷</x:v>
      </x:c>
      <x:c r="E2" s="88" t="str">
        <x:v>連動項目</x:v>
      </x:c>
      <x:c r="F2" s="88" t="str">
        <x:v>備註</x:v>
      </x:c>
      <x:c r="G2" s="88" t="str">
        <x:v>狀態</x:v>
      </x:c>
      <x:c r="H2" s="89" t="str">
        <x:v>最後更新</x:v>
      </x:c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90" t="n">
        <x:v>1</x:v>
      </x:c>
      <x:c r="B3" s="91" t="str">
        <x:v>總則</x:v>
      </x:c>
      <x:c r="C3" s="91" t="str">
        <x:v>顏色</x:v>
      </x:c>
      <x:c r="D3" s="91" t="str">
        <x:v>五金顏色、桶身顏色先不管</x:v>
      </x:c>
      <x:c r="E3" s="91" t="str">
        <x:v>只拆品項、規格、數量</x:v>
      </x:c>
      <x:c r="F3" s="91" t="str">
        <x:v>估價拆料階段先忽略色號</x:v>
      </x:c>
      <x:c r="G3" s="91" t="str">
        <x:v>已確認</x:v>
      </x:c>
      <x:c r="H3" s="92" t="str">
        <x:v>2026-07-03</x:v>
      </x:c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90" t="n">
        <x:v>1</x:v>
      </x:c>
      <x:c r="B4" s="91" t="str">
        <x:v>尺寸</x:v>
      </x:c>
      <x:c r="C4" s="91" t="str">
        <x:v>單位</x:v>
      </x:c>
      <x:c r="D4" s="91" t="str">
        <x:v>圖面 cm → 料單 mm</x:v>
      </x:c>
      <x:c r="E4" s="91" t="str">
        <x:v>所有板件規格</x:v>
      </x:c>
      <x:c r="F4" s="91" t="str">
        <x:v>例如 D39.4 = 394mm</x:v>
      </x:c>
      <x:c r="G4" s="91" t="str">
        <x:v>已確認</x:v>
      </x:c>
      <x:c r="H4" s="92" t="str">
        <x:v>2026-07-03</x:v>
      </x:c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90" t="n">
        <x:v>1</x:v>
      </x:c>
      <x:c r="B5" s="91" t="str">
        <x:v>板厚</x:v>
      </x:c>
      <x:c r="C5" s="91" t="str">
        <x:v>桶身板</x:v>
      </x:c>
      <x:c r="D5" s="91" t="str">
        <x:v>18mm</x:v>
      </x:c>
      <x:c r="E5" s="91" t="str">
        <x:v>側板、頂底板、層板、門板等</x:v>
      </x:c>
      <x:c r="F5" s="91" t="str">
        <x:v>若圖面特殊標示再另算</x:v>
      </x:c>
      <x:c r="G5" s="91" t="str">
        <x:v>已確認</x:v>
      </x:c>
      <x:c r="H5" s="92" t="str">
        <x:v>2026-07-03</x:v>
      </x:c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90" t="n">
        <x:v>1</x:v>
      </x:c>
      <x:c r="B6" s="91" t="str">
        <x:v>背板</x:v>
      </x:c>
      <x:c r="C6" s="91" t="str">
        <x:v>背板厚度</x:v>
      </x:c>
      <x:c r="D6" s="91" t="str">
        <x:v>8mm</x:v>
      </x:c>
      <x:c r="E6" s="91" t="str">
        <x:v>背板</x:v>
      </x:c>
      <x:c r="F6" s="91" t="str">
        <x:v>背板公式仍用 W-26 / H-26</x:v>
      </x:c>
      <x:c r="G6" s="91" t="str">
        <x:v>已確認</x:v>
      </x:c>
      <x:c r="H6" s="92" t="str">
        <x:v>2026-07-03</x:v>
      </x:c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90" t="n">
        <x:v>1</x:v>
      </x:c>
      <x:c r="B7" s="91" t="str">
        <x:v>基本桶身</x:v>
      </x:c>
      <x:c r="C7" s="91" t="str">
        <x:v>側板</x:v>
      </x:c>
      <x:c r="D7" s="91" t="str">
        <x:v>D × H</x:v>
      </x:c>
      <x:c r="E7" s="91" t="str">
        <x:v>2片/桶身</x:v>
      </x:c>
      <x:c r="F7" s="91" t="str">
        <x:v>深度在前</x:v>
      </x:c>
      <x:c r="G7" s="91" t="str">
        <x:v>已確認</x:v>
      </x:c>
      <x:c r="H7" s="92" t="str">
        <x:v>2026-07-03</x:v>
      </x:c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90" t="n">
        <x:v>1</x:v>
      </x:c>
      <x:c r="B8" s="91" t="str">
        <x:v>基本桶身</x:v>
      </x:c>
      <x:c r="C8" s="91" t="str">
        <x:v>頂底板</x:v>
      </x:c>
      <x:c r="D8" s="91" t="str">
        <x:v>D × (W-36)</x:v>
      </x:c>
      <x:c r="E8" s="91" t="str">
        <x:v>2片/桶身</x:v>
      </x:c>
      <x:c r="F8" s="91" t="str">
        <x:v>側板包頂底板，18×2</x:v>
      </x:c>
      <x:c r="G8" s="91" t="str">
        <x:v>已確認</x:v>
      </x:c>
      <x:c r="H8" s="92" t="str">
        <x:v>2026-07-03</x:v>
      </x:c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90" t="n">
        <x:v>1</x:v>
      </x:c>
      <x:c r="B9" s="91" t="str">
        <x:v>基本桶身</x:v>
      </x:c>
      <x:c r="C9" s="91" t="str">
        <x:v>背板</x:v>
      </x:c>
      <x:c r="D9" s="91" t="str">
        <x:v>(W-26) × (H-26)</x:v>
      </x:c>
      <x:c r="E9" s="91" t="str">
        <x:v>1片/桶身</x:v>
      </x:c>
      <x:c r="F9" s="91" t="str">
        <x:v>背板寬高用寬×高</x:v>
      </x:c>
      <x:c r="G9" s="91" t="str">
        <x:v>已確認</x:v>
      </x:c>
      <x:c r="H9" s="92" t="str">
        <x:v>2026-07-03</x:v>
      </x:c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90" t="n">
        <x:v>1</x:v>
      </x:c>
      <x:c r="B10" s="91" t="str">
        <x:v>基本桶身</x:v>
      </x:c>
      <x:c r="C10" s="91" t="str">
        <x:v>背條</x:v>
      </x:c>
      <x:c r="D10" s="91" t="str">
        <x:v>背條數量 = 固格數量；吊櫃每櫃至少1支</x:v>
      </x:c>
      <x:c r="E10" s="91" t="str">
        <x:v>背條</x:v>
      </x:c>
      <x:c r="F10" s="91" t="str">
        <x:v>一般跟著固格；吊櫃即使固格數0，也要一櫃一隻</x:v>
      </x:c>
      <x:c r="G10" s="91" t="str">
        <x:v>已修正</x:v>
      </x:c>
      <x:c r="H10" s="92" t="str">
        <x:v>2026-07-03</x:v>
      </x:c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90" t="n">
        <x:v>1</x:v>
      </x:c>
      <x:c r="B11" s="91" t="str">
        <x:v>五金</x:v>
      </x:c>
      <x:c r="C11" s="91" t="str">
        <x:v>KD</x:v>
      </x:c>
      <x:c r="D11" s="91" t="str">
        <x:v>8個/桶身</x:v>
      </x:c>
      <x:c r="E11" s="91" t="str">
        <x:v>桶身木榫 = KD</x:v>
      </x:c>
      <x:c r="F11" s="91" t="str">
        <x:v>一塊頂底板4個KD，頂+底共8</x:v>
      </x:c>
      <x:c r="G11" s="91" t="str">
        <x:v>已確認</x:v>
      </x:c>
      <x:c r="H11" s="92" t="str">
        <x:v>2026-07-03</x:v>
      </x:c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90" t="n">
        <x:v>1</x:v>
      </x:c>
      <x:c r="B12" s="91" t="str">
        <x:v>五金</x:v>
      </x:c>
      <x:c r="C12" s="91" t="str">
        <x:v>桶身木榫</x:v>
      </x:c>
      <x:c r="D12" s="91" t="str">
        <x:v>木榫數量同 KD 數量</x:v>
      </x:c>
      <x:c r="E12" s="91" t="str">
        <x:v>桶身組裝</x:v>
      </x:c>
      <x:c r="F12" s="91" t="str">
        <x:v>使用者確認：桶身木榫=KD數量</x:v>
      </x:c>
      <x:c r="G12" s="91" t="str">
        <x:v>已確認</x:v>
      </x:c>
      <x:c r="H12" s="92" t="str">
        <x:v>2026-07-03</x:v>
      </x:c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90" t="n">
        <x:v>1</x:v>
      </x:c>
      <x:c r="B13" s="91" t="str">
        <x:v>調整腳</x:v>
      </x:c>
      <x:c r="C13" s="91" t="str">
        <x:v>A10/A12</x:v>
      </x:c>
      <x:c r="D13" s="91" t="str">
        <x:v>落地桶身 × 4；腳高 &lt;=120 用A10，&gt;120 用A12</x:v>
      </x:c>
      <x:c r="E13" s="91" t="str">
        <x:v>調整腳</x:v>
      </x:c>
      <x:c r="F13" s="91" t="str">
        <x:v>看圖面離地標示，不用櫃高相減推</x:v>
      </x:c>
      <x:c r="G13" s="91" t="str">
        <x:v>已確認</x:v>
      </x:c>
      <x:c r="H13" s="92" t="str">
        <x:v>2026-07-03</x:v>
      </x:c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90" t="n">
        <x:v>1</x:v>
      </x:c>
      <x:c r="B14" s="91" t="str">
        <x:v>固格</x:v>
      </x:c>
      <x:c r="C14" s="91" t="str">
        <x:v>固格板</x:v>
      </x:c>
      <x:c r="D14" s="91" t="str">
        <x:v>(D-29) × (W-36)</x:v>
      </x:c>
      <x:c r="E14" s="91" t="str">
        <x:v>固格器=固格×4</x:v>
      </x:c>
      <x:c r="F14" s="91" t="str">
        <x:v>F標示位置為含頂底拉到固格中心</x:v>
      </x:c>
      <x:c r="G14" s="91" t="str">
        <x:v>已確認</x:v>
      </x:c>
      <x:c r="H14" s="92" t="str">
        <x:v>2026-07-03</x:v>
      </x:c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90" t="n">
        <x:v>1</x:v>
      </x:c>
      <x:c r="B15" s="91" t="str">
        <x:v>活格</x:v>
      </x:c>
      <x:c r="C15" s="91" t="str">
        <x:v>活格板</x:v>
      </x:c>
      <x:c r="D15" s="91" t="str">
        <x:v>(D-40) × (W-37)</x:v>
      </x:c>
      <x:c r="E15" s="91" t="str">
        <x:v>活格粒=活格×4</x:v>
      </x:c>
      <x:c r="F15" s="91" t="str">
        <x:v>覆蓋舊檔 D-44；活格固定D-40</x:v>
      </x:c>
      <x:c r="G15" s="91" t="str">
        <x:v>已確認</x:v>
      </x:c>
      <x:c r="H15" s="92" t="str">
        <x:v>2026-07-03</x:v>
      </x:c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90" t="n">
        <x:v>1</x:v>
      </x:c>
      <x:c r="B16" s="91" t="str">
        <x:v>門板</x:v>
      </x:c>
      <x:c r="C16" s="91" t="str">
        <x:v>門片符號</x:v>
      </x:c>
      <x:c r="D16" s="91" t="str">
        <x:v>&lt; = 左開門；&gt; = 右開門；一個符號=一片門板</x:v>
      </x:c>
      <x:c r="E16" s="91" t="str">
        <x:v>門板數量</x:v>
      </x:c>
      <x:c r="F16" s="91" t="str">
        <x:v>優先看立面門符號</x:v>
      </x:c>
      <x:c r="G16" s="91" t="str">
        <x:v>已確認</x:v>
      </x:c>
      <x:c r="H16" s="92" t="str">
        <x:v>2026-07-03</x:v>
      </x:c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90" t="n">
        <x:v>1</x:v>
      </x:c>
      <x:c r="B17" s="91" t="str">
        <x:v>門板</x:v>
      </x:c>
      <x:c r="C17" s="91" t="str">
        <x:v>門板寬</x:v>
      </x:c>
      <x:c r="D17" s="91" t="str">
        <x:v>W / 門片數 - 3</x:v>
      </x:c>
      <x:c r="E17" s="91" t="str">
        <x:v>4E門板、普通門</x:v>
      </x:c>
      <x:c r="F17" s="91" t="str">
        <x:v>未特別標大小門時平均分</x:v>
      </x:c>
      <x:c r="G17" s="91" t="str">
        <x:v>已確認</x:v>
      </x:c>
      <x:c r="H17" s="92" t="str">
        <x:v>2026-07-03</x:v>
      </x:c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90" t="n">
        <x:v>1</x:v>
      </x:c>
      <x:c r="B18" s="91" t="str">
        <x:v>門板</x:v>
      </x:c>
      <x:c r="C18" s="91" t="str">
        <x:v>門板高</x:v>
      </x:c>
      <x:c r="D18" s="91" t="str">
        <x:v>門區高度 - 4</x:v>
      </x:c>
      <x:c r="E18" s="91" t="str">
        <x:v>門板、4E門板</x:v>
      </x:c>
      <x:c r="F18" s="91" t="str">
        <x:v>覆蓋舊檔 -3</x:v>
      </x:c>
      <x:c r="G18" s="91" t="str">
        <x:v>已確認</x:v>
      </x:c>
      <x:c r="H18" s="92" t="str">
        <x:v>2026-07-03</x:v>
      </x:c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90" t="n">
        <x:v>1</x:v>
      </x:c>
      <x:c r="B19" s="91" t="str">
        <x:v>門板</x:v>
      </x:c>
      <x:c r="C19" s="91" t="str">
        <x:v>鋁框門</x:v>
      </x:c>
      <x:c r="D19" s="91" t="str">
        <x:v>鋁框門不拆細料、不列門片輸出</x:v>
      </x:c>
      <x:c r="E19" s="91" t="str">
        <x:v>只拆該格桶身；鋁框門本身略過</x:v>
      </x:c>
      <x:c r="F19" s="91" t="str">
        <x:v>鋁框門不用拆，避免混入4E門板/鉸鏈</x:v>
      </x:c>
      <x:c r="G19" s="91" t="str">
        <x:v>已修正</x:v>
      </x:c>
      <x:c r="H19" s="92" t="str">
        <x:v>2026-07-03</x:v>
      </x:c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90" t="n">
        <x:v>1</x:v>
      </x:c>
      <x:c r="B20" s="91" t="str">
        <x:v>抽屜</x:v>
      </x:c>
      <x:c r="C20" s="91" t="str">
        <x:v>可用抽深</x:v>
      </x:c>
      <x:c r="D20" s="91" t="str">
        <x:v>D-29 為最大可用深度</x:v>
      </x:c>
      <x:c r="E20" s="91" t="str">
        <x:v>邊抽牆深度/滑軌</x:v>
      </x:c>
      <x:c r="F20" s="91" t="str">
        <x:v>邊抽深可選不超過上限的標準深度</x:v>
      </x:c>
      <x:c r="G20" s="91" t="str">
        <x:v>已確認</x:v>
      </x:c>
      <x:c r="H20" s="92" t="str">
        <x:v>2026-07-03</x:v>
      </x:c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90" t="n">
        <x:v>1</x:v>
      </x:c>
      <x:c r="B21" s="91" t="str">
        <x:v>抽屜</x:v>
      </x:c>
      <x:c r="C21" s="91" t="str">
        <x:v>邊抽牆深度</x:v>
      </x:c>
      <x:c r="D21" s="91" t="str">
        <x:v>選 300/350/400/450/500，且 &lt;= D-29</x:v>
      </x:c>
      <x:c r="E21" s="91" t="str">
        <x:v>滑軌=邊抽深度/10</x:v>
      </x:c>
      <x:c r="F21" s="91" t="str">
        <x:v>例如 D496 → 467，可用400或450</x:v>
      </x:c>
      <x:c r="G21" s="91" t="str">
        <x:v>已確認</x:v>
      </x:c>
      <x:c r="H21" s="92" t="str">
        <x:v>2026-07-03</x:v>
      </x:c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90" t="n">
        <x:v>1</x:v>
      </x:c>
      <x:c r="B22" s="91" t="str">
        <x:v>抽屜</x:v>
      </x:c>
      <x:c r="C22" s="91" t="str">
        <x:v>外抽前後抽牆</x:v>
      </x:c>
      <x:c r="D22" s="91" t="str">
        <x:v>抽屜格寬 - 99</x:v>
      </x:c>
      <x:c r="E22" s="91" t="str">
        <x:v>抽底板寬=前後抽牆+10</x:v>
      </x:c>
      <x:c r="F22" s="91" t="str">
        <x:v>-99照舊表與討論保留</x:v>
      </x:c>
      <x:c r="G22" s="91" t="str">
        <x:v>已確認</x:v>
      </x:c>
      <x:c r="H22" s="92" t="str">
        <x:v>2026-07-03</x:v>
      </x:c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90" t="n">
        <x:v>1</x:v>
      </x:c>
      <x:c r="B23" s="91" t="str">
        <x:v>抽屜</x:v>
      </x:c>
      <x:c r="C23" s="91" t="str">
        <x:v>內抽前後抽牆</x:v>
      </x:c>
      <x:c r="D23" s="91" t="str">
        <x:v>抽屜格寬 - 99 - 50</x:v>
      </x:c>
      <x:c r="E23" s="91" t="str">
        <x:v>抽補板</x:v>
      </x:c>
      <x:c r="F23" s="91" t="str">
        <x:v>-50=左右抽補板25×2</x:v>
      </x:c>
      <x:c r="G23" s="91" t="str">
        <x:v>已確認</x:v>
      </x:c>
      <x:c r="H23" s="92" t="str">
        <x:v>2026-07-03</x:v>
      </x:c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90" t="n">
        <x:v>1</x:v>
      </x:c>
      <x:c r="B24" s="91" t="str">
        <x:v>內抽</x:v>
      </x:c>
      <x:c r="C24" s="91" t="str">
        <x:v>抽補板</x:v>
      </x:c>
      <x:c r="D24" s="91" t="str">
        <x:v>120 × (F高度-27)，4片</x:v>
      </x:c>
      <x:c r="E24" s="91" t="str">
        <x:v>用來鎖滑軌</x:v>
      </x:c>
      <x:c r="F24" s="91" t="str">
        <x:v>F高度從含頂底拉到固格中心；H內高=F-18-9</x:v>
      </x:c>
      <x:c r="G24" s="91" t="str">
        <x:v>已確認</x:v>
      </x:c>
      <x:c r="H24" s="92" t="str">
        <x:v>2026-07-03</x:v>
      </x:c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90" t="n">
        <x:v>1</x:v>
      </x:c>
      <x:c r="B25" s="91" t="str">
        <x:v>抽屜</x:v>
      </x:c>
      <x:c r="C25" s="91" t="str">
        <x:v>抽底板</x:v>
      </x:c>
      <x:c r="D25" s="91" t="str">
        <x:v>(邊抽深度-26) × (前後抽牆寬+10)</x:v>
      </x:c>
      <x:c r="E25" s="91" t="str">
        <x:v>抽底板</x:v>
      </x:c>
      <x:c r="F25" s="91" t="str">
        <x:v>深度在前</x:v>
      </x:c>
      <x:c r="G25" s="91" t="str">
        <x:v>已確認</x:v>
      </x:c>
      <x:c r="H25" s="92" t="str">
        <x:v>2026-07-03</x:v>
      </x:c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93" t="n">
        <x:v>1</x:v>
      </x:c>
      <x:c r="B26" s="94" t="str">
        <x:v>電視櫃</x:v>
      </x:c>
      <x:c r="C26" s="94" t="str">
        <x:v>結構判斷</x:v>
      </x:c>
      <x:c r="D26" s="94" t="str">
        <x:v>一個主體櫃 + 中立板/擋板/縮深板</x:v>
      </x:c>
      <x:c r="E26" s="94" t="str">
        <x:v>電視櫃下櫃</x:v>
      </x:c>
      <x:c r="F26" s="94" t="str">
        <x:v>不可把65×5全部拆成獨立桶身</x:v>
      </x:c>
      <x:c r="G26" s="94" t="str">
        <x:v>已確認</x:v>
      </x:c>
      <x:c r="H26" s="95" t="str">
        <x:v>2026-07-03</x:v>
      </x:c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253" t="n">
        <x:v>1</x:v>
      </x:c>
      <x:c r="B27" s="253" t="str">
        <x:v>背條</x:v>
      </x:c>
      <x:c r="C27" s="253" t="str">
        <x:v>背條數量</x:v>
      </x:c>
      <x:c r="D27" s="253" t="str">
        <x:v>一般背條跟固格走：背條數=固格數</x:v>
      </x:c>
      <x:c r="E27" s="253" t="str">
        <x:v>背條</x:v>
      </x:c>
      <x:c r="F27" s="253" t="str">
        <x:v>吊櫃例外：一個吊櫃至少一支背條</x:v>
      </x:c>
      <x:c r="G27" s="253" t="str">
        <x:v>已確認</x:v>
      </x:c>
      <x:c r="H27" s="253" t="str">
        <x:v>2026-07-03</x:v>
      </x:c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253" t="n">
        <x:v>1</x:v>
      </x:c>
      <x:c r="B28" s="253" t="str">
        <x:v>吊櫃</x:v>
      </x:c>
      <x:c r="C28" s="253" t="str">
        <x:v>背條保底</x:v>
      </x:c>
      <x:c r="D28" s="253" t="str">
        <x:v>吊櫃背條=MAX(固格數,1)×桶身數</x:v>
      </x:c>
      <x:c r="E28" s="253" t="str">
        <x:v>背條</x:v>
      </x:c>
      <x:c r="F28" s="253" t="str">
        <x:v>吊櫃沒有固格也要1支/櫃</x:v>
      </x:c>
      <x:c r="G28" s="253" t="str">
        <x:v>已確認</x:v>
      </x:c>
      <x:c r="H28" s="253" t="str">
        <x:v>2026-07-03</x:v>
      </x:c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253" t="n">
        <x:v>1</x:v>
      </x:c>
      <x:c r="B29" s="253" t="str">
        <x:v>鋁框門</x:v>
      </x:c>
      <x:c r="C29" s="253" t="str">
        <x:v>鋁框門本身</x:v>
      </x:c>
      <x:c r="D29" s="253" t="str">
        <x:v>不用拆，不列鋁框門板件與鋁框五金</x:v>
      </x:c>
      <x:c r="E29" s="253" t="str">
        <x:v>桶身照拆</x:v>
      </x:c>
      <x:c r="F29" s="253" t="str">
        <x:v>若要報價可另列人工/成品，但本表先略過</x:v>
      </x:c>
      <x:c r="G29" s="253" t="str">
        <x:v>已確認</x:v>
      </x:c>
      <x:c r="H29" s="253" t="str">
        <x:v>2026-07-03</x:v>
      </x:c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253" t="n">
        <x:v>1</x:v>
      </x:c>
      <x:c r="B30" s="253" t="str">
        <x:v>公式修正</x:v>
      </x:c>
      <x:c r="C30" s="253" t="str">
        <x:v>自動拆料V2</x:v>
      </x:c>
      <x:c r="D30" s="253" t="str">
        <x:v>已新增吊櫃輸入欄並修正背條、鋁框門輸出</x:v>
      </x:c>
      <x:c r="E30" s="253" t="str">
        <x:v>自動拆料V2_單櫃</x:v>
      </x:c>
      <x:c r="F30" s="253" t="str">
        <x:v>背條不再固定2支/桶；鋁框門數量固定0</x:v>
      </x:c>
      <x:c r="G30" s="253" t="str">
        <x:v>已更新</x:v>
      </x:c>
      <x:c r="H30" s="253" t="str">
        <x:v>2026-07-03</x:v>
      </x:c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253" t="str">
        <x:v>抽屜中立板中心線</x:v>
      </x:c>
      <x:c r="B31" s="253" t="str">
        <x:v>前後抽牆扣數</x:v>
      </x:c>
      <x:c r="C31" s="253" t="str">
        <x:v>若抽屜格寬標到中立板中心，該側只扣半片板9mm</x:v>
      </x:c>
      <x:c r="D31" s="253" t="str">
        <x:v>一般完整側板+完整側板 = -99</x:v>
      </x:c>
      <x:c r="E31" s="253" t="str">
        <x:v>完整側板+中立中心 = -90</x:v>
      </x:c>
      <x:c r="F31" s="253" t="str">
        <x:v>中立中心+中立中心 = -81</x:v>
      </x:c>
      <x:c r="G31" s="253" t="str">
        <x:v>兩抽並排通常先用-90</x:v>
      </x:c>
      <x:c r="H31" s="253" t="str">
        <x:v>依圖確認</x:v>
      </x:c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253" t="str">
        <x:v>抽屜前後抽牆</x:v>
      </x:c>
      <x:c r="B32" s="253" t="str">
        <x:v>外抽</x:v>
      </x:c>
      <x:c r="C32" s="253" t="str">
        <x:v>前後抽牆寬 = 抽屜格寬 - 扣數</x:v>
      </x:c>
      <x:c r="D32" s="253" t="str">
        <x:v>扣數可為99/90/81</x:v>
      </x:c>
      <x:c r="E32" s="253" t="str">
        <x:v>有中立線時不可固定用-99</x:v>
      </x:c>
      <x:c r="F32" s="253" t="str"/>
      <x:c r="G32" s="253" t="str"/>
      <x:c r="H32" s="253" t="str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253" t="str">
        <x:v>抽底板</x:v>
      </x:c>
      <x:c r="B33" s="253" t="str">
        <x:v>外抽/內抽</x:v>
      </x:c>
      <x:c r="C33" s="253" t="str">
        <x:v>抽底板 = (邊抽牆深度 - 26) × (前後抽牆寬 + 10)</x:v>
      </x:c>
      <x:c r="D33" s="253" t="str">
        <x:v>邊抽深度不超過D-29</x:v>
      </x:c>
      <x:c r="E33" s="253" t="str"/>
      <x:c r="F33" s="253" t="str"/>
      <x:c r="G33" s="253" t="str"/>
      <x:c r="H33" s="253" t="str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253" t="str">
        <x:v>抽屜預設</x:v>
      </x:c>
      <x:c r="B34" s="253" t="str">
        <x:v>兩抽</x:v>
      </x:c>
      <x:c r="C34" s="253" t="str">
        <x:v>若同一桶身兩抽並排且中心有中立標示，預設扣數90</x:v>
      </x:c>
      <x:c r="D34" s="253" t="str">
        <x:v>若兩邊皆中心線改81</x:v>
      </x:c>
      <x:c r="E34" s="253" t="str">
        <x:v>若左右皆完整側板用99</x:v>
      </x:c>
      <x:c r="F34" s="253" t="str"/>
      <x:c r="G34" s="253" t="str"/>
      <x:c r="H34" s="253" t="str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253" t="str">
        <x:v>公式更新</x:v>
      </x:c>
      <x:c r="B35" s="253" t="str">
        <x:v>V2</x:v>
      </x:c>
      <x:c r="C35" s="253" t="str">
        <x:v>自動拆料V2_單櫃：前後抽牆扣數預設改為 IF(抽屜數=2,90,99)，特殊情況可手動改為81或99</x:v>
      </x:c>
      <x:c r="D35" s="253" t="str"/>
      <x:c r="E35" s="253" t="str"/>
      <x:c r="F35" s="253" t="str"/>
      <x:c r="G35" s="253" t="str"/>
      <x:c r="H35" s="253" t="str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253"/>
      <x:c r="B36" s="253"/>
      <x:c r="C36" s="253"/>
      <x:c r="D36" s="253"/>
      <x:c r="E36" s="253"/>
      <x:c r="F36" s="253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253"/>
      <x:c r="B37" s="253"/>
      <x:c r="C37" s="253"/>
      <x:c r="D37" s="253"/>
      <x:c r="E37" s="253"/>
      <x:c r="F37" s="253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253"/>
      <x:c r="B38" s="253"/>
      <x:c r="C38" s="253"/>
      <x:c r="D38" s="253"/>
      <x:c r="E38" s="253"/>
      <x:c r="F38" s="253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253"/>
      <x:c r="B39" s="253"/>
      <x:c r="C39" s="253"/>
      <x:c r="D39" s="253"/>
      <x:c r="E39" s="253"/>
      <x:c r="F39" s="253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253"/>
      <x:c r="B40" s="253"/>
      <x:c r="C40" s="253"/>
      <x:c r="D40" s="253"/>
      <x:c r="E40" s="253"/>
      <x:c r="F40" s="253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253"/>
      <x:c r="B41" s="253"/>
      <x:c r="C41" s="253"/>
      <x:c r="D41" s="253"/>
      <x:c r="E41" s="253"/>
      <x:c r="F41" s="253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253"/>
      <x:c r="B42" s="253"/>
      <x:c r="C42" s="253"/>
      <x:c r="D42" s="253"/>
      <x:c r="E42" s="253"/>
      <x:c r="F42" s="253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253"/>
      <x:c r="B43" s="253"/>
      <x:c r="C43" s="253"/>
      <x:c r="D43" s="253"/>
      <x:c r="E43" s="253"/>
      <x:c r="F43" s="253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253"/>
      <x:c r="B44" s="253"/>
      <x:c r="C44" s="253"/>
      <x:c r="D44" s="253"/>
      <x:c r="E44" s="253"/>
      <x:c r="F44" s="253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253"/>
      <x:c r="B45" s="253"/>
      <x:c r="C45" s="253"/>
      <x:c r="D45" s="253"/>
      <x:c r="E45" s="253"/>
      <x:c r="F45" s="253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253"/>
      <x:c r="B46" s="253"/>
      <x:c r="C46" s="253"/>
      <x:c r="D46" s="253"/>
      <x:c r="E46" s="253"/>
      <x:c r="F46" s="253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253"/>
      <x:c r="B47" s="253"/>
      <x:c r="C47" s="253"/>
      <x:c r="D47" s="253"/>
      <x:c r="E47" s="253"/>
      <x:c r="F47" s="253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253"/>
      <x:c r="B48" s="253"/>
      <x:c r="C48" s="253"/>
      <x:c r="D48" s="253"/>
      <x:c r="E48" s="253"/>
      <x:c r="F48" s="253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253"/>
      <x:c r="B49" s="253"/>
      <x:c r="C49" s="253"/>
      <x:c r="D49" s="253"/>
      <x:c r="E49" s="253"/>
      <x:c r="F49" s="253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253"/>
      <x:c r="B50" s="253"/>
      <x:c r="C50" s="253"/>
      <x:c r="D50" s="253"/>
      <x:c r="E50" s="253"/>
      <x:c r="F50" s="253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253"/>
      <x:c r="B51" s="253"/>
      <x:c r="C51" s="253"/>
      <x:c r="D51" s="253"/>
      <x:c r="E51" s="253"/>
      <x:c r="F51" s="253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253"/>
      <x:c r="B52" s="253"/>
      <x:c r="C52" s="253"/>
      <x:c r="D52" s="253"/>
      <x:c r="E52" s="253"/>
      <x:c r="F52" s="253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0.11000061035156" hidden="0" customWidth="1"/>
    <x:col min="2" max="2" width="7.559999942779541" hidden="0" customWidth="1"/>
    <x:col min="3" max="3" width="8.329999923706055" hidden="0" customWidth="1"/>
    <x:col min="4" max="4" width="35" hidden="0" customWidth="1"/>
    <x:col min="6" max="6" width="10.109999656677246" hidden="0" customWidth="1"/>
    <x:col min="7" max="7" width="34.779998779296875" hidden="0" customWidth="1"/>
    <x:col min="8" max="8" width="7.559999942779541" hidden="0" customWidth="1"/>
    <x:col min="9" max="9" width="20.889999389648438" hidden="0" customWidth="1"/>
    <x:col min="5" max="5" width="4" hidden="0" customWidth="1"/>
  </x:cols>
  <x:sheetData>
    <x:row r="1">
      <x:c r="A1" s="107" t="str">
        <x:v>自動拆料 V2（單櫃輸入 → 板件/五金輸出）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119" t="str">
        <x:v>輸入欄位</x:v>
      </x:c>
      <x:c r="B3" s="120" t="str">
        <x:v>數值</x:v>
      </x:c>
      <x:c r="C3" s="120" t="str">
        <x:v>單位/選項</x:v>
      </x:c>
      <x:c r="D3" s="121" t="str">
        <x:v>說明</x:v>
      </x:c>
      <x:c r="E3" s="253"/>
      <x:c r="F3" s="149" t="str">
        <x:v>參數/中間值</x:v>
      </x:c>
      <x:c r="G3" s="150" t="str">
        <x:v>公式</x:v>
      </x:c>
      <x:c r="H3" s="150" t="str">
        <x:v>目前值</x:v>
      </x:c>
      <x:c r="I3" s="151" t="str">
        <x:v>說明</x:v>
      </x:c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122" t="str">
        <x:v>桶身寬 W</x:v>
      </x:c>
      <x:c r="B4" s="123" t="n">
        <x:v>800</x:v>
      </x:c>
      <x:c r="C4" s="124" t="str">
        <x:v>mm</x:v>
      </x:c>
      <x:c r="D4" s="125" t="str">
        <x:v>單一桶身外寬，通常 &lt;=1000</x:v>
      </x:c>
      <x:c r="E4" s="253"/>
      <x:c r="F4" s="122" t="str">
        <x:v>內寬</x:v>
      </x:c>
      <x:c r="G4" s="124" t="n">
        <x:f>B4-36</x:f>
        <x:v>764</x:v>
      </x:c>
      <x:c r="H4" s="124" t="n">
        <x:f>B4-36</x:f>
        <x:v>764</x:v>
      </x:c>
      <x:c r="I4" s="125" t="str">
        <x:v>W-36</x:v>
      </x:c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122" t="str">
        <x:v>桶身深 D</x:v>
      </x:c>
      <x:c r="B5" s="123" t="n">
        <x:v>394</x:v>
      </x:c>
      <x:c r="C5" s="124" t="str">
        <x:v>mm</x:v>
      </x:c>
      <x:c r="D5" s="125" t="str">
        <x:v>深度，料單規格深度在前</x:v>
      </x:c>
      <x:c r="E5" s="253"/>
      <x:c r="F5" s="122" t="str">
        <x:v>背板寬</x:v>
      </x:c>
      <x:c r="G5" s="124" t="n">
        <x:f>B4-26</x:f>
        <x:v>774</x:v>
      </x:c>
      <x:c r="H5" s="124" t="n">
        <x:f>B4-26</x:f>
        <x:v>774</x:v>
      </x:c>
      <x:c r="I5" s="125" t="str">
        <x:v>W-26</x:v>
      </x:c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122" t="str">
        <x:v>桶身高 H</x:v>
      </x:c>
      <x:c r="B6" s="123" t="n">
        <x:v>2176</x:v>
      </x:c>
      <x:c r="C6" s="124" t="str">
        <x:v>mm</x:v>
      </x:c>
      <x:c r="D6" s="125" t="str">
        <x:v>桶身本體高度，不含腳高</x:v>
      </x:c>
      <x:c r="E6" s="253"/>
      <x:c r="F6" s="122" t="str">
        <x:v>背板高</x:v>
      </x:c>
      <x:c r="G6" s="124" t="n">
        <x:f>B6-26</x:f>
        <x:v>2150</x:v>
      </x:c>
      <x:c r="H6" s="124" t="n">
        <x:f>B6-26</x:f>
        <x:v>2150</x:v>
      </x:c>
      <x:c r="I6" s="125" t="str">
        <x:v>H-26</x:v>
      </x:c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122" t="str">
        <x:v>桶身數</x:v>
      </x:c>
      <x:c r="B7" s="123" t="n">
        <x:v>1</x:v>
      </x:c>
      <x:c r="C7" s="124" t="str">
        <x:v>個</x:v>
      </x:c>
      <x:c r="D7" s="125" t="str">
        <x:v>同規格桶身數</x:v>
      </x:c>
      <x:c r="E7" s="253"/>
      <x:c r="F7" s="122" t="str">
        <x:v>活格深</x:v>
      </x:c>
      <x:c r="G7" s="124" t="n">
        <x:f>B5-40</x:f>
        <x:v>354</x:v>
      </x:c>
      <x:c r="H7" s="124" t="n">
        <x:f>B5-40</x:f>
        <x:v>354</x:v>
      </x:c>
      <x:c r="I7" s="125" t="str">
        <x:v>D-40，修正版</x:v>
      </x:c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122" t="str">
        <x:v>固格數/每桶</x:v>
      </x:c>
      <x:c r="B8" s="123" t="n">
        <x:v>1</x:v>
      </x:c>
      <x:c r="C8" s="124" t="str">
        <x:v>片</x:v>
      </x:c>
      <x:c r="D8" s="125" t="str">
        <x:v>F標示的固格數</x:v>
      </x:c>
      <x:c r="E8" s="253"/>
      <x:c r="F8" s="122" t="str">
        <x:v>活格寬</x:v>
      </x:c>
      <x:c r="G8" s="124" t="n">
        <x:f>B4-37</x:f>
        <x:v>763</x:v>
      </x:c>
      <x:c r="H8" s="124" t="n">
        <x:f>B4-37</x:f>
        <x:v>763</x:v>
      </x:c>
      <x:c r="I8" s="125" t="str">
        <x:v>W-37</x:v>
      </x:c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122" t="str">
        <x:v>活格數/每桶</x:v>
      </x:c>
      <x:c r="B9" s="123" t="n">
        <x:v>4</x:v>
      </x:c>
      <x:c r="C9" s="124" t="str">
        <x:v>片</x:v>
      </x:c>
      <x:c r="D9" s="125" t="str">
        <x:v>活動層板數，D固定-40</x:v>
      </x:c>
      <x:c r="E9" s="253"/>
      <x:c r="F9" s="122" t="str">
        <x:v>固格深</x:v>
      </x:c>
      <x:c r="G9" s="124" t="n">
        <x:f>B5-29-IF(B22="是",19,0)</x:f>
        <x:v>365</x:v>
      </x:c>
      <x:c r="H9" s="124" t="n">
        <x:f>B5-29-IF(B22="是",19,0)</x:f>
        <x:v>365</x:v>
      </x:c>
      <x:c r="I9" s="125" t="str">
        <x:v>普通D-29，前縮時再-19</x:v>
      </x:c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122" t="str">
        <x:v>門片數/每桶</x:v>
      </x:c>
      <x:c r="B10" s="123" t="n">
        <x:v>2</x:v>
      </x:c>
      <x:c r="C10" s="124" t="str">
        <x:v>片</x:v>
      </x:c>
      <x:c r="D10" s="125" t="str">
        <x:v>可由 &lt; &gt; 符號數判斷</x:v>
      </x:c>
      <x:c r="E10" s="253"/>
      <x:c r="F10" s="122" t="str">
        <x:v>抽屜深</x:v>
      </x:c>
      <x:c r="G10" s="124" t="n">
        <x:f>IF(B16&lt;&gt;"",B16,MIN(500,MAX(300,FLOOR(B5-29,50))))</x:f>
        <x:v>350</x:v>
      </x:c>
      <x:c r="H10" s="124" t="n">
        <x:f>IF(B16&lt;&gt;"",B16,MIN(500,MAX(300,FLOOR(B5-29,50))))</x:f>
        <x:v>350</x:v>
      </x:c>
      <x:c r="I10" s="125" t="str">
        <x:v>不超過D-29；標準300~500</x:v>
      </x:c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122" t="str">
        <x:v>門區高度</x:v>
      </x:c>
      <x:c r="B11" s="123" t="n">
        <x:v>2176</x:v>
      </x:c>
      <x:c r="C11" s="124" t="str">
        <x:v>mm</x:v>
      </x:c>
      <x:c r="D11" s="125" t="str">
        <x:v>門板高度會自動-4</x:v>
      </x:c>
      <x:c r="E11" s="253"/>
      <x:c r="F11" s="122" t="str">
        <x:v>滑軌</x:v>
      </x:c>
      <x:c r="G11" s="124" t="str">
        <x:f>TEXT(H10/10,"0")&amp;"滑軌"</x:f>
        <x:v>35滑軌</x:v>
      </x:c>
      <x:c r="H11" s="124" t="str">
        <x:f>TEXT(H10/10,"0")&amp;"滑軌"</x:f>
        <x:v>35滑軌</x:v>
      </x:c>
      <x:c r="I11" s="125" t="str">
        <x:v>依邊抽深度</x:v>
      </x:c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122" t="str">
        <x:v>門型</x:v>
      </x:c>
      <x:c r="B12" s="123" t="str">
        <x:v>4E門板</x:v>
      </x:c>
      <x:c r="C12" s="124" t="str">
        <x:v>4E門板/無</x:v>
      </x:c>
      <x:c r="D12" s="125" t="str">
        <x:v>鋁框門不用拆；選無，桶身照拆即可</x:v>
      </x:c>
      <x:c r="E12" s="253"/>
      <x:c r="F12" s="122" t="str">
        <x:v>抽屜格寬</x:v>
      </x:c>
      <x:c r="G12" s="124" t="n">
        <x:f>IF(B13&gt;0,B4/B13,0)</x:f>
        <x:v>0</x:v>
      </x:c>
      <x:c r="H12" s="124" t="n">
        <x:f>IF(B13&gt;0,B4/B13,0)</x:f>
        <x:v>0</x:v>
      </x:c>
      <x:c r="I12" s="125" t="str">
        <x:v>每抽寬度</x:v>
      </x:c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122" t="str">
        <x:v>抽屜數/每桶</x:v>
      </x:c>
      <x:c r="B13" s="123" t="n">
        <x:v>0</x:v>
      </x:c>
      <x:c r="C13" s="124" t="str">
        <x:v>抽</x:v>
      </x:c>
      <x:c r="D13" s="125" t="str">
        <x:v>外抽或內抽數</x:v>
      </x:c>
      <x:c r="E13" s="253"/>
      <x:c r="F13" s="122" t="str">
        <x:v>前後抽牆寬</x:v>
      </x:c>
      <x:c r="G13" s="124" t="n">
        <x:f>IF(B13&gt;0,H12-B23-IF(B14="內抽",50,0),0)</x:f>
        <x:v>0</x:v>
      </x:c>
      <x:c r="H13" s="124" t="n">
        <x:f>IF(B13&gt;0,H12-B23-IF(B14="內抽",50,0),0)</x:f>
        <x:v>0</x:v>
      </x:c>
      <x:c r="I13" s="125" t="str">
        <x:v>外抽扣數用B23；內抽再-50</x:v>
      </x:c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122" t="str">
        <x:v>抽屜型式</x:v>
      </x:c>
      <x:c r="B14" s="123" t="str">
        <x:v>外抽</x:v>
      </x:c>
      <x:c r="C14" s="124" t="str">
        <x:v>外抽/內抽</x:v>
      </x:c>
      <x:c r="D14" s="125" t="str">
        <x:v>內抽會加抽補板</x:v>
      </x:c>
      <x:c r="E14" s="253"/>
      <x:c r="F14" s="122" t="str">
        <x:v>門板高</x:v>
      </x:c>
      <x:c r="G14" s="124" t="n">
        <x:f>B11-4</x:f>
        <x:v>2172</x:v>
      </x:c>
      <x:c r="H14" s="124" t="n">
        <x:f>B11-4</x:f>
        <x:v>2172</x:v>
      </x:c>
      <x:c r="I14" s="125" t="str">
        <x:v>門區高度-4</x:v>
      </x:c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122" t="str">
        <x:v>屜頭高度</x:v>
      </x:c>
      <x:c r="B15" s="123" t="n">
        <x:v>200</x:v>
      </x:c>
      <x:c r="C15" s="124" t="str">
        <x:v>mm</x:v>
      </x:c>
      <x:c r="D15" s="125" t="str">
        <x:v>抽屜面板高度</x:v>
      </x:c>
      <x:c r="E15" s="253"/>
      <x:c r="F15" s="122" t="str">
        <x:v>門板寬</x:v>
      </x:c>
      <x:c r="G15" s="124" t="n">
        <x:f>IF(B10&gt;0,B4/B10-3,0)</x:f>
        <x:v>397</x:v>
      </x:c>
      <x:c r="H15" s="124" t="n">
        <x:f>IF(B10&gt;0,B4/B10-3,0)</x:f>
        <x:v>397</x:v>
      </x:c>
      <x:c r="I15" s="125" t="str">
        <x:v>W/門片數-3</x:v>
      </x:c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122" t="str">
        <x:v>邊抽牆深度</x:v>
      </x:c>
      <x:c r="B16" s="123" t="str"/>
      <x:c r="C16" s="124" t="str">
        <x:v>mm</x:v>
      </x:c>
      <x:c r="D16" s="125" t="str">
        <x:v>可留空，自動選 &lt;=D-29 的標準深</x:v>
      </x:c>
      <x:c r="E16" s="253"/>
      <x:c r="F16" s="122" t="str">
        <x:v>鉸鏈/片</x:v>
      </x:c>
      <x:c r="G16" s="124" t="n">
        <x:f>IF(H14&lt;=0,0,IF(H14&lt;960,2,IF(H14&lt;1600,3,IF(H14&lt;2240,4,5))))</x:f>
        <x:v>4</x:v>
      </x:c>
      <x:c r="H16" s="124" t="n">
        <x:f>IF(H14&lt;=0,0,IF(H14&lt;960,2,IF(H14&lt;1600,3,IF(H14&lt;2240,4,5))))</x:f>
        <x:v>4</x:v>
      </x:c>
      <x:c r="I16" s="125" t="str">
        <x:v>依門板高</x:v>
      </x:c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122" t="str">
        <x:v>抽牆高度</x:v>
      </x:c>
      <x:c r="B17" s="123" t="n">
        <x:v>100</x:v>
      </x:c>
      <x:c r="C17" s="124" t="str">
        <x:v>mm</x:v>
      </x:c>
      <x:c r="D17" s="125" t="str">
        <x:v>邊抽/前後抽牆高度</x:v>
      </x:c>
      <x:c r="E17" s="253"/>
      <x:c r="F17" s="126"/>
      <x:c r="G17" s="128"/>
      <x:c r="H17" s="128"/>
      <x:c r="I17" s="129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122" t="str">
        <x:v>落地</x:v>
      </x:c>
      <x:c r="B18" s="123" t="str">
        <x:v>是</x:v>
      </x:c>
      <x:c r="C18" s="124" t="str">
        <x:v>是/否</x:v>
      </x:c>
      <x:c r="D18" s="125" t="str">
        <x:v>是才算調整腳</x:v>
      </x:c>
      <x:c r="E18" s="253"/>
      <x:c r="F18" s="253"/>
      <x:c r="G18" s="253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122" t="str">
        <x:v>腳高</x:v>
      </x:c>
      <x:c r="B19" s="123" t="n">
        <x:v>97</x:v>
      </x:c>
      <x:c r="C19" s="124" t="str">
        <x:v>mm</x:v>
      </x:c>
      <x:c r="D19" s="125" t="str">
        <x:v>&lt;=120 A10，&gt;120 A12</x:v>
      </x:c>
      <x:c r="E19" s="253"/>
      <x:c r="F19" s="253"/>
      <x:c r="G19" s="253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122" t="str">
        <x:v>斜把</x:v>
      </x:c>
      <x:c r="B20" s="123" t="str">
        <x:v>否</x:v>
      </x:c>
      <x:c r="C20" s="124" t="str">
        <x:v>是/否</x:v>
      </x:c>
      <x:c r="D20" s="125" t="str">
        <x:v>是則列擋板/斜手把</x:v>
      </x:c>
      <x:c r="E20" s="253"/>
      <x:c r="F20" s="253"/>
      <x:c r="G20" s="253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122" t="str">
        <x:v>固格位置F</x:v>
      </x:c>
      <x:c r="B21" s="123" t="n">
        <x:v>1024</x:v>
      </x:c>
      <x:c r="C21" s="124" t="str">
        <x:v>mm</x:v>
      </x:c>
      <x:c r="D21" s="125" t="str">
        <x:v>內抽抽補板高度=F-27</x:v>
      </x:c>
      <x:c r="E21" s="253"/>
      <x:c r="F21" s="253"/>
      <x:c r="G21" s="253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122" t="str">
        <x:v>固格前縮19</x:v>
      </x:c>
      <x:c r="B22" s="123" t="str">
        <x:v>否</x:v>
      </x:c>
      <x:c r="C22" s="124" t="str">
        <x:v>是/否</x:v>
      </x:c>
      <x:c r="D22" s="125" t="str">
        <x:v>有抽屜/鋁框等需要前縮時選是</x:v>
      </x:c>
      <x:c r="E22" s="253"/>
      <x:c r="F22" s="253"/>
      <x:c r="G22" s="253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126" t="str">
        <x:v>前後抽牆扣數</x:v>
      </x:c>
      <x:c r="B23" s="127" t="n">
        <x:f>IF(B13=2,90,99)</x:f>
        <x:v>99</x:v>
      </x:c>
      <x:c r="C23" s="128" t="str">
        <x:v>mm</x:v>
      </x:c>
      <x:c r="D23" s="129" t="str">
        <x:v>一般99；一側完整+一側中立中心=90；兩側中心=81。兩抽預設90，可依圖手動改</x:v>
      </x:c>
      <x:c r="E23" s="253"/>
      <x:c r="F23" s="253"/>
      <x:c r="G23" s="253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253" t="str">
        <x:v>吊櫃</x:v>
      </x:c>
      <x:c r="B24" s="253" t="str">
        <x:v>否</x:v>
      </x:c>
      <x:c r="C24" s="253" t="str">
        <x:v>是/否</x:v>
      </x:c>
      <x:c r="D24" s="253" t="str">
        <x:v>吊櫃背條一櫃至少一隻；地櫃/高櫃依固格數</x:v>
      </x:c>
      <x:c r="E24" s="253"/>
      <x:c r="F24" s="253"/>
      <x:c r="G24" s="253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253"/>
      <x:c r="B25" s="253"/>
      <x:c r="C25" s="253"/>
      <x:c r="D25" s="253"/>
      <x:c r="E25" s="253"/>
      <x:c r="F25" s="253"/>
      <x:c r="G25" s="253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161" t="str">
        <x:v>項目</x:v>
      </x:c>
      <x:c r="B26" s="162" t="str">
        <x:v>規格1</x:v>
      </x:c>
      <x:c r="C26" s="162" t="str">
        <x:v>規格2</x:v>
      </x:c>
      <x:c r="D26" s="162" t="str">
        <x:v>厚度</x:v>
      </x:c>
      <x:c r="E26" s="162" t="str">
        <x:v>數量</x:v>
      </x:c>
      <x:c r="F26" s="162" t="str">
        <x:v>五金/分類</x:v>
      </x:c>
      <x:c r="G26" s="162" t="str">
        <x:v>公式說明</x:v>
      </x:c>
      <x:c r="H26" s="163" t="str">
        <x:v>是否啟用</x:v>
      </x:c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90" t="str">
        <x:v>側板</x:v>
      </x:c>
      <x:c r="B27" s="91" t="n">
        <x:f>B5</x:f>
        <x:v>394</x:v>
      </x:c>
      <x:c r="C27" s="91" t="n">
        <x:f>B6</x:f>
        <x:v>2176</x:v>
      </x:c>
      <x:c r="D27" s="91" t="n">
        <x:v>18</x:v>
      </x:c>
      <x:c r="E27" s="91" t="n">
        <x:f>B7*2</x:f>
        <x:v>2</x:v>
      </x:c>
      <x:c r="F27" s="91" t="str">
        <x:v>板件</x:v>
      </x:c>
      <x:c r="G27" s="91" t="str">
        <x:v>D × H；2片/桶</x:v>
      </x:c>
      <x:c r="H27" s="92" t="b">
        <x:f>E27&gt;0</x:f>
        <x:v>1</x:v>
      </x:c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90" t="str">
        <x:v>頂底板</x:v>
      </x:c>
      <x:c r="B28" s="91" t="n">
        <x:f>B5</x:f>
        <x:v>394</x:v>
      </x:c>
      <x:c r="C28" s="91" t="n">
        <x:f>B4-36</x:f>
        <x:v>764</x:v>
      </x:c>
      <x:c r="D28" s="91" t="n">
        <x:v>18</x:v>
      </x:c>
      <x:c r="E28" s="91" t="n">
        <x:f>B7*2</x:f>
        <x:v>2</x:v>
      </x:c>
      <x:c r="F28" s="91" t="str">
        <x:v>板件</x:v>
      </x:c>
      <x:c r="G28" s="91" t="str">
        <x:v>D × (W-36)；2片/桶</x:v>
      </x:c>
      <x:c r="H28" s="92" t="b">
        <x:f>E28&gt;0</x:f>
        <x:v>1</x:v>
      </x:c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90" t="str">
        <x:v>背板</x:v>
      </x:c>
      <x:c r="B29" s="91" t="n">
        <x:f>B4-26</x:f>
        <x:v>774</x:v>
      </x:c>
      <x:c r="C29" s="91" t="n">
        <x:f>B6-26</x:f>
        <x:v>2150</x:v>
      </x:c>
      <x:c r="D29" s="91" t="n">
        <x:v>8</x:v>
      </x:c>
      <x:c r="E29" s="91" t="n">
        <x:f>B7</x:f>
        <x:v>1</x:v>
      </x:c>
      <x:c r="F29" s="91" t="str">
        <x:v>板件</x:v>
      </x:c>
      <x:c r="G29" s="91" t="str">
        <x:v>(W-26) × (H-26)</x:v>
      </x:c>
      <x:c r="H29" s="92" t="b">
        <x:f>E29&gt;0</x:f>
        <x:v>1</x:v>
      </x:c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90" t="str">
        <x:v>背條</x:v>
      </x:c>
      <x:c r="B30" s="91" t="n">
        <x:v>110</x:v>
      </x:c>
      <x:c r="C30" s="91" t="n">
        <x:f>B4-36</x:f>
        <x:v>764</x:v>
      </x:c>
      <x:c r="D30" s="91" t="n">
        <x:v>18</x:v>
      </x:c>
      <x:c r="E30" s="91" t="n">
        <x:f>IF(B24="是",B7*MAX(B8,1),B7*B8)</x:f>
        <x:v>1</x:v>
      </x:c>
      <x:c r="F30" s="91" t="str">
        <x:v>板件</x:v>
      </x:c>
      <x:c r="G30" s="91" t="str">
        <x:v>背條數：地櫃/高櫃跟固格，吊櫃至少1支/桶</x:v>
      </x:c>
      <x:c r="H30" s="92" t="b">
        <x:f>E30&gt;0</x:f>
        <x:v>1</x:v>
      </x:c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90" t="str">
        <x:v>固格板</x:v>
      </x:c>
      <x:c r="B31" s="91" t="n">
        <x:f>H9</x:f>
        <x:v>365</x:v>
      </x:c>
      <x:c r="C31" s="91" t="n">
        <x:f>B4-36</x:f>
        <x:v>764</x:v>
      </x:c>
      <x:c r="D31" s="91" t="n">
        <x:v>18</x:v>
      </x:c>
      <x:c r="E31" s="91" t="n">
        <x:f>B7*B8</x:f>
        <x:v>1</x:v>
      </x:c>
      <x:c r="F31" s="91" t="str">
        <x:v>板件</x:v>
      </x:c>
      <x:c r="G31" s="91" t="str">
        <x:v>D-29，前縮時再-19</x:v>
      </x:c>
      <x:c r="H31" s="92" t="b">
        <x:f>E31&gt;0</x:f>
        <x:v>1</x:v>
      </x:c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90" t="str">
        <x:v>活格板</x:v>
      </x:c>
      <x:c r="B32" s="91" t="n">
        <x:f>H7</x:f>
        <x:v>354</x:v>
      </x:c>
      <x:c r="C32" s="91" t="n">
        <x:f>H8</x:f>
        <x:v>763</x:v>
      </x:c>
      <x:c r="D32" s="91" t="n">
        <x:v>18</x:v>
      </x:c>
      <x:c r="E32" s="91" t="n">
        <x:f>B7*B9</x:f>
        <x:v>4</x:v>
      </x:c>
      <x:c r="F32" s="91" t="str">
        <x:v>板件</x:v>
      </x:c>
      <x:c r="G32" s="91" t="str">
        <x:v>D-40 × (W-37)</x:v>
      </x:c>
      <x:c r="H32" s="92" t="b">
        <x:f>E32&gt;0</x:f>
        <x:v>1</x:v>
      </x:c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90" t="str">
        <x:v>4E門板</x:v>
      </x:c>
      <x:c r="B33" s="91" t="n">
        <x:f>H15</x:f>
        <x:v>397</x:v>
      </x:c>
      <x:c r="C33" s="91" t="n">
        <x:f>H14</x:f>
        <x:v>2172</x:v>
      </x:c>
      <x:c r="D33" s="91" t="n">
        <x:v>18</x:v>
      </x:c>
      <x:c r="E33" s="91" t="n">
        <x:f>IF(B12="4E門板",B7*B10,0)</x:f>
        <x:v>2</x:v>
      </x:c>
      <x:c r="F33" s="91" t="str">
        <x:v>門板</x:v>
      </x:c>
      <x:c r="G33" s="91" t="str">
        <x:v>門寬=W/門片數-3；門高-4</x:v>
      </x:c>
      <x:c r="H33" s="92" t="b">
        <x:f>E33&gt;0</x:f>
        <x:v>1</x:v>
      </x:c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90" t="str">
        <x:v>鋁框門</x:v>
      </x:c>
      <x:c r="B34" s="91" t="n">
        <x:f>H15</x:f>
        <x:v>397</x:v>
      </x:c>
      <x:c r="C34" s="91" t="n">
        <x:f>H14</x:f>
        <x:v>2172</x:v>
      </x:c>
      <x:c r="D34" s="91" t="str"/>
      <x:c r="E34" s="91" t="n">
        <x:f>0</x:f>
        <x:v>0</x:v>
      </x:c>
      <x:c r="F34" s="91" t="str">
        <x:v>門板</x:v>
      </x:c>
      <x:c r="G34" s="91" t="str">
        <x:v>鋁框門不拆：桶身照拆，門片不列</x:v>
      </x:c>
      <x:c r="H34" s="92" t="b">
        <x:f>FALSE</x:f>
        <x:v>0</x:v>
      </x:c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90" t="str">
        <x:v>屜頭</x:v>
      </x:c>
      <x:c r="B35" s="91" t="n">
        <x:f>IF(B13&gt;0,B4/B13-3,0)</x:f>
        <x:v>0</x:v>
      </x:c>
      <x:c r="C35" s="91" t="n">
        <x:f>B15</x:f>
        <x:v>200</x:v>
      </x:c>
      <x:c r="D35" s="91" t="n">
        <x:v>18</x:v>
      </x:c>
      <x:c r="E35" s="91" t="n">
        <x:f>B7*B13</x:f>
        <x:v>0</x:v>
      </x:c>
      <x:c r="F35" s="91" t="str">
        <x:v>抽屜</x:v>
      </x:c>
      <x:c r="G35" s="91" t="str">
        <x:v>外抽/內抽屜頭寬先用每抽寬-3，可再調整</x:v>
      </x:c>
      <x:c r="H35" s="92" t="b">
        <x:f>E35&gt;0</x:f>
        <x:v>0</x:v>
      </x:c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90" t="str">
        <x:v>邊抽牆</x:v>
      </x:c>
      <x:c r="B36" s="91" t="n">
        <x:f>H10</x:f>
        <x:v>350</x:v>
      </x:c>
      <x:c r="C36" s="91" t="n">
        <x:f>B17</x:f>
        <x:v>100</x:v>
      </x:c>
      <x:c r="D36" s="91" t="n">
        <x:v>18</x:v>
      </x:c>
      <x:c r="E36" s="91" t="n">
        <x:f>B7*B13*2</x:f>
        <x:v>0</x:v>
      </x:c>
      <x:c r="F36" s="91" t="str">
        <x:v>抽屜</x:v>
      </x:c>
      <x:c r="G36" s="91" t="str">
        <x:v>邊抽深度 × 抽牆高；左右各1</x:v>
      </x:c>
      <x:c r="H36" s="92" t="b">
        <x:f>E36&gt;0</x:f>
        <x:v>0</x:v>
      </x:c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90" t="str">
        <x:v>前後抽牆</x:v>
      </x:c>
      <x:c r="B37" s="91" t="n">
        <x:f>H13</x:f>
        <x:v>0</x:v>
      </x:c>
      <x:c r="C37" s="91" t="n">
        <x:f>B17</x:f>
        <x:v>100</x:v>
      </x:c>
      <x:c r="D37" s="91" t="n">
        <x:v>18</x:v>
      </x:c>
      <x:c r="E37" s="91" t="n">
        <x:f>B7*B13*2</x:f>
        <x:v>0</x:v>
      </x:c>
      <x:c r="F37" s="91" t="str">
        <x:v>抽屜</x:v>
      </x:c>
      <x:c r="G37" s="91" t="str">
        <x:v>外抽/內抽前後抽牆 = 格寬 - 扣數；扣數依中立中心線</x:v>
      </x:c>
      <x:c r="H37" s="92" t="b">
        <x:f>E37&gt;0</x:f>
        <x:v>0</x:v>
      </x:c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90" t="str">
        <x:v>抽底板</x:v>
      </x:c>
      <x:c r="B38" s="91" t="n">
        <x:f>H10-26</x:f>
        <x:v>324</x:v>
      </x:c>
      <x:c r="C38" s="91" t="n">
        <x:f>H13+10</x:f>
        <x:v>10</x:v>
      </x:c>
      <x:c r="D38" s="91" t="n">
        <x:v>8</x:v>
      </x:c>
      <x:c r="E38" s="91" t="n">
        <x:f>B7*B13</x:f>
        <x:v>0</x:v>
      </x:c>
      <x:c r="F38" s="91" t="str">
        <x:v>抽屜</x:v>
      </x:c>
      <x:c r="G38" s="91" t="str">
        <x:v>(邊抽深-26) × (前後抽牆+10)</x:v>
      </x:c>
      <x:c r="H38" s="92" t="b">
        <x:f>E38&gt;0</x:f>
        <x:v>0</x:v>
      </x:c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90" t="str">
        <x:v>抽補板</x:v>
      </x:c>
      <x:c r="B39" s="91" t="n">
        <x:v>120</x:v>
      </x:c>
      <x:c r="C39" s="91" t="n">
        <x:f>B21-27</x:f>
        <x:v>997</x:v>
      </x:c>
      <x:c r="D39" s="91" t="n">
        <x:v>25</x:v>
      </x:c>
      <x:c r="E39" s="91" t="n">
        <x:f>IF(B14="內抽",B7*B13*4,0)</x:f>
        <x:v>0</x:v>
      </x:c>
      <x:c r="F39" s="91" t="str">
        <x:v>內抽</x:v>
      </x:c>
      <x:c r="G39" s="91" t="str">
        <x:v>120 × (固格F-27)；內抽4片/抽</x:v>
      </x:c>
      <x:c r="H39" s="92" t="b">
        <x:f>E39&gt;0</x:f>
        <x:v>0</x:v>
      </x:c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90" t="str">
        <x:v>橫擋板</x:v>
      </x:c>
      <x:c r="B40" s="91" t="n">
        <x:v>60</x:v>
      </x:c>
      <x:c r="C40" s="91" t="n">
        <x:f>B4-36</x:f>
        <x:v>764</x:v>
      </x:c>
      <x:c r="D40" s="91" t="n">
        <x:v>18</x:v>
      </x:c>
      <x:c r="E40" s="91" t="n">
        <x:f>IF(B20="是",B7*2,0)</x:f>
        <x:v>0</x:v>
      </x:c>
      <x:c r="F40" s="91" t="str">
        <x:v>斜把</x:v>
      </x:c>
      <x:c r="G40" s="91" t="str">
        <x:v>斜把用；60 × 內寬</x:v>
      </x:c>
      <x:c r="H40" s="92" t="b">
        <x:f>E40&gt;0</x:f>
        <x:v>0</x:v>
      </x:c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90" t="str">
        <x:v>立擋板(斜)</x:v>
      </x:c>
      <x:c r="B41" s="91" t="n">
        <x:v>70</x:v>
      </x:c>
      <x:c r="C41" s="91" t="n">
        <x:f>B6-41</x:f>
        <x:v>2135</x:v>
      </x:c>
      <x:c r="D41" s="91" t="n">
        <x:v>8</x:v>
      </x:c>
      <x:c r="E41" s="91" t="n">
        <x:f>IF(B20="是",B7,0)</x:f>
        <x:v>0</x:v>
      </x:c>
      <x:c r="F41" s="91" t="str">
        <x:v>斜把</x:v>
      </x:c>
      <x:c r="G41" s="91" t="str">
        <x:v>斜把用；70 × (H-41)</x:v>
      </x:c>
      <x:c r="H41" s="92" t="b">
        <x:f>E41&gt;0</x:f>
        <x:v>0</x:v>
      </x:c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90" t="str">
        <x:v>KD</x:v>
      </x:c>
      <x:c r="B42" s="91" t="str"/>
      <x:c r="C42" s="91" t="str"/>
      <x:c r="D42" s="91" t="str"/>
      <x:c r="E42" s="91" t="n">
        <x:f>B7*8</x:f>
        <x:v>8</x:v>
      </x:c>
      <x:c r="F42" s="91" t="str">
        <x:v>五金</x:v>
      </x:c>
      <x:c r="G42" s="91" t="str">
        <x:v>8個/桶身</x:v>
      </x:c>
      <x:c r="H42" s="92" t="b">
        <x:f>E42&gt;0</x:f>
        <x:v>1</x:v>
      </x:c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90" t="str">
        <x:v>桶身木榫</x:v>
      </x:c>
      <x:c r="B43" s="91" t="str"/>
      <x:c r="C43" s="91" t="str"/>
      <x:c r="D43" s="91" t="str"/>
      <x:c r="E43" s="91" t="n">
        <x:f>E42</x:f>
        <x:v>8</x:v>
      </x:c>
      <x:c r="F43" s="91" t="str">
        <x:v>五金</x:v>
      </x:c>
      <x:c r="G43" s="91" t="str">
        <x:v>桶身木榫=KD</x:v>
      </x:c>
      <x:c r="H43" s="92" t="b">
        <x:f>E43&gt;0</x:f>
        <x:v>1</x:v>
      </x:c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90" t="str">
        <x:v>固格器</x:v>
      </x:c>
      <x:c r="B44" s="91" t="str"/>
      <x:c r="C44" s="91" t="str"/>
      <x:c r="D44" s="91" t="str"/>
      <x:c r="E44" s="91" t="n">
        <x:f>E31*4</x:f>
        <x:v>4</x:v>
      </x:c>
      <x:c r="F44" s="91" t="str">
        <x:v>五金</x:v>
      </x:c>
      <x:c r="G44" s="91" t="str">
        <x:v>固格×4</x:v>
      </x:c>
      <x:c r="H44" s="92" t="b">
        <x:f>E44&gt;0</x:f>
        <x:v>1</x:v>
      </x:c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90" t="str">
        <x:v>活格粒</x:v>
      </x:c>
      <x:c r="B45" s="91" t="str"/>
      <x:c r="C45" s="91" t="str"/>
      <x:c r="D45" s="91" t="str"/>
      <x:c r="E45" s="91" t="n">
        <x:f>E32*4</x:f>
        <x:v>16</x:v>
      </x:c>
      <x:c r="F45" s="91" t="str">
        <x:v>五金</x:v>
      </x:c>
      <x:c r="G45" s="91" t="str">
        <x:v>活格×4</x:v>
      </x:c>
      <x:c r="H45" s="92" t="b">
        <x:f>E45&gt;0</x:f>
        <x:v>1</x:v>
      </x:c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90" t="str">
        <x:v>A10調整腳</x:v>
      </x:c>
      <x:c r="B46" s="91" t="str"/>
      <x:c r="C46" s="91" t="str"/>
      <x:c r="D46" s="91" t="str"/>
      <x:c r="E46" s="91" t="n">
        <x:f>IF(AND(B18="是",B19&lt;=120),B7*4,0)</x:f>
        <x:v>4</x:v>
      </x:c>
      <x:c r="F46" s="91" t="str">
        <x:v>五金</x:v>
      </x:c>
      <x:c r="G46" s="91" t="str">
        <x:v>落地且腳高&lt;=120</x:v>
      </x:c>
      <x:c r="H46" s="92" t="b">
        <x:f>E46&gt;0</x:f>
        <x:v>1</x:v>
      </x:c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90" t="str">
        <x:v>A12調整腳</x:v>
      </x:c>
      <x:c r="B47" s="91" t="str"/>
      <x:c r="C47" s="91" t="str"/>
      <x:c r="D47" s="91" t="str"/>
      <x:c r="E47" s="91" t="n">
        <x:f>IF(AND(B18="是",B19&gt;120),B7*4,0)</x:f>
        <x:v>0</x:v>
      </x:c>
      <x:c r="F47" s="91" t="str">
        <x:v>五金</x:v>
      </x:c>
      <x:c r="G47" s="91" t="str">
        <x:v>落地且腳高&gt;120</x:v>
      </x:c>
      <x:c r="H47" s="92" t="b">
        <x:f>E47&gt;0</x:f>
        <x:v>0</x:v>
      </x:c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90" t="str">
        <x:v>鉸鏈</x:v>
      </x:c>
      <x:c r="B48" s="91" t="str"/>
      <x:c r="C48" s="91" t="str"/>
      <x:c r="D48" s="91" t="str"/>
      <x:c r="E48" s="91" t="n">
        <x:f>IF(B12="4E門板",E33*H16,0)</x:f>
        <x:v>8</x:v>
      </x:c>
      <x:c r="F48" s="91" t="str">
        <x:v>五金</x:v>
      </x:c>
      <x:c r="G48" s="91" t="str">
        <x:v>門片數×鉸鏈/片</x:v>
      </x:c>
      <x:c r="H48" s="92" t="b">
        <x:f>E48&gt;0</x:f>
        <x:v>1</x:v>
      </x:c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90" t="str">
        <x:v>油壓器</x:v>
      </x:c>
      <x:c r="B49" s="91" t="str"/>
      <x:c r="C49" s="91" t="str"/>
      <x:c r="D49" s="91" t="str"/>
      <x:c r="E49" s="91" t="n">
        <x:f>IF(B12="4E門板",E33,0)</x:f>
        <x:v>2</x:v>
      </x:c>
      <x:c r="F49" s="91" t="str">
        <x:v>五金</x:v>
      </x:c>
      <x:c r="G49" s="91" t="str">
        <x:v>一般門板1片1個，待確認可調</x:v>
      </x:c>
      <x:c r="H49" s="92" t="b">
        <x:f>E49&gt;0</x:f>
        <x:v>1</x:v>
      </x:c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90" t="str">
        <x:v>滑軌</x:v>
      </x:c>
      <x:c r="B50" s="91" t="str">
        <x:f>H11</x:f>
        <x:v>35滑軌</x:v>
      </x:c>
      <x:c r="C50" s="91" t="str"/>
      <x:c r="D50" s="91" t="str"/>
      <x:c r="E50" s="91" t="n">
        <x:f>B7*B13</x:f>
        <x:v>0</x:v>
      </x:c>
      <x:c r="F50" s="91" t="str">
        <x:v>五金</x:v>
      </x:c>
      <x:c r="G50" s="91" t="str">
        <x:v>依邊抽深度自動顯示</x:v>
      </x:c>
      <x:c r="H50" s="92" t="b">
        <x:f>E50&gt;0</x:f>
        <x:v>0</x:v>
      </x:c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90" t="str">
        <x:v>抽屜木榫</x:v>
      </x:c>
      <x:c r="B51" s="91" t="str"/>
      <x:c r="C51" s="91" t="str"/>
      <x:c r="D51" s="91" t="str"/>
      <x:c r="E51" s="91" t="n">
        <x:f>B7*B13*8</x:f>
        <x:v>0</x:v>
      </x:c>
      <x:c r="F51" s="91" t="str">
        <x:v>五金</x:v>
      </x:c>
      <x:c r="G51" s="91" t="str">
        <x:v>每抽8顆</x:v>
      </x:c>
      <x:c r="H51" s="92" t="b">
        <x:f>E51&gt;0</x:f>
        <x:v>0</x:v>
      </x:c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93" t="str">
        <x:v>斜手把</x:v>
      </x:c>
      <x:c r="B52" s="94" t="str"/>
      <x:c r="C52" s="94" t="str"/>
      <x:c r="D52" s="94" t="str"/>
      <x:c r="E52" s="94" t="n">
        <x:f>IF(B20="是",B7*(B10+B13),0)</x:f>
        <x:v>0</x:v>
      </x:c>
      <x:c r="F52" s="94" t="str">
        <x:v>五金</x:v>
      </x:c>
      <x:c r="G52" s="94" t="str">
        <x:v>斜把門/抽頭數量合計</x:v>
      </x:c>
      <x:c r="H52" s="95" t="b">
        <x:f>E52&gt;0</x:f>
        <x:v>0</x:v>
      </x:c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R1"/>
  </x:mergeCells>
  <x:dataValidations count="5">
    <x:dataValidation type="list" sqref="B12">
      <x:formula1>"4E門板,鋁框門,無"</x:formula1>
    </x:dataValidation>
    <x:dataValidation type="list" sqref="B14">
      <x:formula1>"外抽,內抽"</x:formula1>
    </x:dataValidation>
    <x:dataValidation type="list" sqref="B18">
      <x:formula1>"是,否"</x:formula1>
    </x:dataValidation>
    <x:dataValidation type="list" sqref="B20">
      <x:formula1>"是,否"</x:formula1>
    </x:dataValidation>
    <x:dataValidation type="list" sqref="B22">
      <x:formula1>"是,否"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6.779998779296875" hidden="0" customWidth="1"/>
    <x:col min="2" max="2" width="3.2200000286102295" hidden="0" customWidth="1"/>
    <x:col min="3" max="3" width="3.2200000286102295" hidden="0" customWidth="1"/>
    <x:col min="4" max="4" width="4.110000133514404" hidden="0" customWidth="1"/>
    <x:col min="5" max="5" width="5.78000020980835" hidden="0" customWidth="1"/>
    <x:col min="6" max="6" width="6.559999942779541" hidden="0" customWidth="1"/>
    <x:col min="7" max="7" width="6.559999942779541" hidden="0" customWidth="1"/>
    <x:col min="8" max="8" width="6.559999942779541" hidden="0" customWidth="1"/>
    <x:col min="9" max="9" width="4.110000133514404" hidden="0" customWidth="1"/>
    <x:col min="10" max="10" width="12" hidden="0" customWidth="1"/>
    <x:col min="11" max="11" width="10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10" hidden="0" customWidth="1"/>
    <x:col min="21" max="21" width="10" hidden="0" customWidth="1"/>
    <x:col min="22" max="22" width="20" hidden="0" customWidth="1"/>
    <x:col min="23" max="23" width="9" hidden="0" customWidth="1"/>
    <x:col min="24" max="24" width="10" hidden="0" customWidth="1"/>
    <x:col min="25" max="25" width="9" hidden="0" customWidth="1"/>
    <x:col min="26" max="26" width="9" hidden="0" customWidth="1"/>
    <x:col min="27" max="27" width="9" hidden="0" customWidth="1"/>
  </x:cols>
  <x:sheetData>
    <x:row r="1">
      <x:c r="A1" s="181" t="str">
        <x:v>批次拆料 V2（多個桶身逐列輸入，右側自動計算）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199" t="str">
        <x:v>單元</x:v>
      </x:c>
      <x:c r="B3" s="200" t="str">
        <x:v>W</x:v>
      </x:c>
      <x:c r="C3" s="200" t="str">
        <x:v>D</x:v>
      </x:c>
      <x:c r="D3" s="200" t="str">
        <x:v>H</x:v>
      </x:c>
      <x:c r="E3" s="200" t="str">
        <x:v>桶身數</x:v>
      </x:c>
      <x:c r="F3" s="200" t="str">
        <x:v>固格/桶</x:v>
      </x:c>
      <x:c r="G3" s="200" t="str">
        <x:v>活格/桶</x:v>
      </x:c>
      <x:c r="H3" s="200" t="str">
        <x:v>門片/桶</x:v>
      </x:c>
      <x:c r="I3" s="200" t="str">
        <x:v>門高</x:v>
      </x:c>
      <x:c r="J3" s="200" t="str">
        <x:v>門型</x:v>
      </x:c>
      <x:c r="K3" s="200" t="str">
        <x:v>抽屜/桶</x:v>
      </x:c>
      <x:c r="L3" s="200" t="str">
        <x:v>抽屜型式</x:v>
      </x:c>
      <x:c r="M3" s="200" t="str">
        <x:v>屜頭高</x:v>
      </x:c>
      <x:c r="N3" s="200" t="str">
        <x:v>邊抽深</x:v>
      </x:c>
      <x:c r="O3" s="200" t="str">
        <x:v>抽牆高</x:v>
      </x:c>
      <x:c r="P3" s="200" t="str">
        <x:v>落地</x:v>
      </x:c>
      <x:c r="Q3" s="200" t="str">
        <x:v>腳高</x:v>
      </x:c>
      <x:c r="R3" s="200" t="str">
        <x:v>斜把</x:v>
      </x:c>
      <x:c r="S3" s="200" t="str">
        <x:v>前縮19</x:v>
      </x:c>
      <x:c r="T3" s="200" t="str">
        <x:v>固格F</x:v>
      </x:c>
      <x:c r="U3" s="200" t="str">
        <x:v>前後抽扣</x:v>
      </x:c>
      <x:c r="V3" s="200" t="str">
        <x:v>備註</x:v>
      </x:c>
      <x:c r="W3" s="200" t="str">
        <x:v>側板數</x:v>
      </x:c>
      <x:c r="X3" s="200" t="str">
        <x:v>頂底板數</x:v>
      </x:c>
      <x:c r="Y3" s="200" t="str">
        <x:v>固格數</x:v>
      </x:c>
      <x:c r="Z3" s="200" t="str">
        <x:v>活格數</x:v>
      </x:c>
      <x:c r="AA3" s="201" t="str">
        <x:v>門板數</x:v>
      </x:c>
      <x:c r="AB3" t="str">
        <x:v>背條數</x:v>
      </x:c>
      <x:c r="AC3" s="194" t="str">
        <x:v>單元</x:v>
      </x:c>
      <x:c r="AD3" s="194" t="str">
        <x:v>項目</x:v>
      </x:c>
      <x:c r="AE3" s="194" t="str">
        <x:v>規格1</x:v>
      </x:c>
      <x:c r="AF3" s="194" t="str">
        <x:v>規格2</x:v>
      </x:c>
      <x:c r="AG3" s="194" t="str">
        <x:v>厚度</x:v>
      </x:c>
      <x:c r="AH3" s="194" t="str">
        <x:v>數量</x:v>
      </x:c>
      <x:c r="AI3" s="194" t="str">
        <x:v>公式說明</x:v>
      </x:c>
      <x:c r="AJ3" s="194" t="str">
        <x:v>項目</x:v>
      </x:c>
      <x:c r="AK3" s="194" t="str">
        <x:v>規格1</x:v>
      </x:c>
      <x:c r="AL3" s="194" t="str">
        <x:v>規格2</x:v>
      </x:c>
    </x:row>
    <x:row r="4">
      <x:c r="A4" s="164" t="str">
        <x:v>客廳置物櫃80</x:v>
      </x:c>
      <x:c r="B4" s="165" t="n">
        <x:v>800</x:v>
      </x:c>
      <x:c r="C4" s="165" t="n">
        <x:v>394</x:v>
      </x:c>
      <x:c r="D4" s="165" t="n">
        <x:v>2176</x:v>
      </x:c>
      <x:c r="E4" s="165" t="n">
        <x:v>1</x:v>
      </x:c>
      <x:c r="F4" s="165" t="n">
        <x:v>1</x:v>
      </x:c>
      <x:c r="G4" s="165" t="n">
        <x:v>4</x:v>
      </x:c>
      <x:c r="H4" s="165" t="n">
        <x:v>2</x:v>
      </x:c>
      <x:c r="I4" s="165" t="n">
        <x:v>2176</x:v>
      </x:c>
      <x:c r="J4" s="165" t="str">
        <x:v>4E門板</x:v>
      </x:c>
      <x:c r="K4" s="165" t="n">
        <x:v>0</x:v>
      </x:c>
      <x:c r="L4" s="165" t="str">
        <x:v>外抽</x:v>
      </x:c>
      <x:c r="M4" s="165" t="n">
        <x:v>200</x:v>
      </x:c>
      <x:c r="N4" s="165" t="str"/>
      <x:c r="O4" s="165" t="n">
        <x:v>100</x:v>
      </x:c>
      <x:c r="P4" s="165" t="str">
        <x:v>是</x:v>
      </x:c>
      <x:c r="Q4" s="165" t="n">
        <x:v>97</x:v>
      </x:c>
      <x:c r="R4" s="165" t="str">
        <x:v>否</x:v>
      </x:c>
      <x:c r="S4" s="165" t="str">
        <x:v>否</x:v>
      </x:c>
      <x:c r="T4" s="165" t="n">
        <x:v>768</x:v>
      </x:c>
      <x:c r="U4" s="165" t="n">
        <x:v>99</x:v>
      </x:c>
      <x:c r="V4" s="165" t="str">
        <x:v>示例</x:v>
      </x:c>
      <x:c r="W4" s="165" t="n">
        <x:f>E4*2</x:f>
        <x:v>2</x:v>
      </x:c>
      <x:c r="X4" s="165" t="n">
        <x:f>E4*2</x:f>
        <x:v>2</x:v>
      </x:c>
      <x:c r="Y4" s="165" t="n">
        <x:f>E4*F4</x:f>
        <x:v>1</x:v>
      </x:c>
      <x:c r="Z4" s="165" t="n">
        <x:f>E4*G4</x:f>
        <x:v>4</x:v>
      </x:c>
      <x:c r="AA4" s="166" t="n">
        <x:f>IF(J4="無",0,E4*H4)</x:f>
        <x:v>2</x:v>
      </x:c>
      <x:c r="AB4" t="n">
        <x:f>IF(OR(ISNUMBER(SEARCH("上櫃",A4)),ISNUMBER(SEARCH("吊櫃",A4))),E4*MAX(F4,1),E4*F4)</x:f>
        <x:v>1</x:v>
      </x:c>
    </x:row>
    <x:row r="5">
      <x:c r="A5" s="164" t="str">
        <x:v>客廳置物櫃40</x:v>
      </x:c>
      <x:c r="B5" s="165" t="n">
        <x:v>400</x:v>
      </x:c>
      <x:c r="C5" s="165" t="n">
        <x:v>394</x:v>
      </x:c>
      <x:c r="D5" s="165" t="n">
        <x:v>2176</x:v>
      </x:c>
      <x:c r="E5" s="165" t="n">
        <x:v>1</x:v>
      </x:c>
      <x:c r="F5" s="165" t="n">
        <x:v>1</x:v>
      </x:c>
      <x:c r="G5" s="165" t="n">
        <x:v>4</x:v>
      </x:c>
      <x:c r="H5" s="165" t="n">
        <x:v>1</x:v>
      </x:c>
      <x:c r="I5" s="165" t="n">
        <x:v>2176</x:v>
      </x:c>
      <x:c r="J5" s="165" t="str">
        <x:v>4E門板</x:v>
      </x:c>
      <x:c r="K5" s="165" t="n">
        <x:v>0</x:v>
      </x:c>
      <x:c r="L5" s="165" t="str">
        <x:v>外抽</x:v>
      </x:c>
      <x:c r="M5" s="165" t="n">
        <x:v>200</x:v>
      </x:c>
      <x:c r="N5" s="165" t="str"/>
      <x:c r="O5" s="165" t="n">
        <x:v>100</x:v>
      </x:c>
      <x:c r="P5" s="165" t="str">
        <x:v>是</x:v>
      </x:c>
      <x:c r="Q5" s="165" t="n">
        <x:v>97</x:v>
      </x:c>
      <x:c r="R5" s="165" t="str">
        <x:v>否</x:v>
      </x:c>
      <x:c r="S5" s="165" t="str">
        <x:v>否</x:v>
      </x:c>
      <x:c r="T5" s="165" t="n">
        <x:v>768</x:v>
      </x:c>
      <x:c r="U5" s="165" t="n">
        <x:v>99</x:v>
      </x:c>
      <x:c r="V5" s="165" t="str">
        <x:v>示例</x:v>
      </x:c>
      <x:c r="W5" s="165" t="n">
        <x:f>E5*2</x:f>
        <x:v>2</x:v>
      </x:c>
      <x:c r="X5" s="165" t="n">
        <x:f>E5*2</x:f>
        <x:v>2</x:v>
      </x:c>
      <x:c r="Y5" s="165" t="n">
        <x:f>E5*F5</x:f>
        <x:v>1</x:v>
      </x:c>
      <x:c r="Z5" s="165" t="n">
        <x:f>E5*G5</x:f>
        <x:v>4</x:v>
      </x:c>
      <x:c r="AA5" s="166" t="n">
        <x:f>IF(J5="無",0,E5*H5)</x:f>
        <x:v>1</x:v>
      </x:c>
      <x:c r="AB5" t="n">
        <x:f>IF(OR(ISNUMBER(SEARCH("上櫃",A5)),ISNUMBER(SEARCH("吊櫃",A5))),E5*MAX(F5,1),E5*F5)</x:f>
        <x:v>1</x:v>
      </x:c>
    </x:row>
    <x:row r="6">
      <x:c r="A6" s="164" t="str">
        <x:v>餐櫃上櫃90</x:v>
      </x:c>
      <x:c r="B6" s="165" t="n">
        <x:v>900</x:v>
      </x:c>
      <x:c r="C6" s="165" t="n">
        <x:v>300</x:v>
      </x:c>
      <x:c r="D6" s="165" t="n">
        <x:v>800</x:v>
      </x:c>
      <x:c r="E6" s="165" t="n">
        <x:v>2</x:v>
      </x:c>
      <x:c r="F6" s="165" t="n">
        <x:v>0</x:v>
      </x:c>
      <x:c r="G6" s="165" t="n">
        <x:v>1</x:v>
      </x:c>
      <x:c r="H6" s="165" t="n">
        <x:v>2</x:v>
      </x:c>
      <x:c r="I6" s="165" t="n">
        <x:v>800</x:v>
      </x:c>
      <x:c r="J6" s="165" t="str">
        <x:v>4E門板</x:v>
      </x:c>
      <x:c r="K6" s="165" t="n">
        <x:v>0</x:v>
      </x:c>
      <x:c r="L6" s="165" t="str">
        <x:v>外抽</x:v>
      </x:c>
      <x:c r="M6" s="165" t="n">
        <x:v>200</x:v>
      </x:c>
      <x:c r="N6" s="165" t="str"/>
      <x:c r="O6" s="165" t="n">
        <x:v>100</x:v>
      </x:c>
      <x:c r="P6" s="165" t="str">
        <x:v>否</x:v>
      </x:c>
      <x:c r="Q6" s="165" t="n">
        <x:v>0</x:v>
      </x:c>
      <x:c r="R6" s="165" t="str">
        <x:v>否</x:v>
      </x:c>
      <x:c r="S6" s="165" t="str">
        <x:v>否</x:v>
      </x:c>
      <x:c r="T6" s="165" t="n">
        <x:v>0</x:v>
      </x:c>
      <x:c r="U6" s="165" t="n">
        <x:v>99</x:v>
      </x:c>
      <x:c r="V6" s="165" t="str">
        <x:v>示例：上櫃無抽，扣數不影響</x:v>
      </x:c>
      <x:c r="W6" s="165" t="n">
        <x:f>E6*2</x:f>
        <x:v>4</x:v>
      </x:c>
      <x:c r="X6" s="165" t="n">
        <x:f>E6*2</x:f>
        <x:v>4</x:v>
      </x:c>
      <x:c r="Y6" s="165" t="n">
        <x:f>E6*F6</x:f>
        <x:v>0</x:v>
      </x:c>
      <x:c r="Z6" s="165" t="n">
        <x:f>E6*G6</x:f>
        <x:v>2</x:v>
      </x:c>
      <x:c r="AA6" s="166" t="n">
        <x:f>IF(J6="無",0,E6*H6)</x:f>
        <x:v>4</x:v>
      </x:c>
      <x:c r="AB6" t="n">
        <x:f>IF(OR(ISNUMBER(SEARCH("上櫃",A6)),ISNUMBER(SEARCH("吊櫃",A6))),E6*MAX(F6,1),E6*F6)</x:f>
        <x:v>2</x:v>
      </x:c>
    </x:row>
    <x:row r="7">
      <x:c r="A7" s="164" t="str">
        <x:v>餐櫃下櫃90</x:v>
      </x:c>
      <x:c r="B7" s="165" t="n">
        <x:v>900</x:v>
      </x:c>
      <x:c r="C7" s="165" t="n">
        <x:v>426</x:v>
      </x:c>
      <x:c r="D7" s="165" t="n">
        <x:v>928</x:v>
      </x:c>
      <x:c r="E7" s="165" t="n">
        <x:v>2</x:v>
      </x:c>
      <x:c r="F7" s="165" t="n">
        <x:v>1</x:v>
      </x:c>
      <x:c r="G7" s="165" t="n">
        <x:v>1</x:v>
      </x:c>
      <x:c r="H7" s="165" t="n">
        <x:v>2</x:v>
      </x:c>
      <x:c r="I7" s="165" t="n">
        <x:v>708</x:v>
      </x:c>
      <x:c r="J7" s="165" t="str">
        <x:v>4E門板</x:v>
      </x:c>
      <x:c r="K7" s="165" t="n">
        <x:v>2</x:v>
      </x:c>
      <x:c r="L7" s="165" t="str">
        <x:v>外抽</x:v>
      </x:c>
      <x:c r="M7" s="165" t="n">
        <x:v>200</x:v>
      </x:c>
      <x:c r="N7" s="165" t="n">
        <x:v>350</x:v>
      </x:c>
      <x:c r="O7" s="165" t="n">
        <x:v>100</x:v>
      </x:c>
      <x:c r="P7" s="165" t="str">
        <x:v>是</x:v>
      </x:c>
      <x:c r="Q7" s="165" t="n">
        <x:v>97</x:v>
      </x:c>
      <x:c r="R7" s="165" t="str">
        <x:v>是</x:v>
      </x:c>
      <x:c r="S7" s="165" t="str">
        <x:v>是</x:v>
      </x:c>
      <x:c r="T7" s="165" t="n">
        <x:v>745</x:v>
      </x:c>
      <x:c r="U7" s="165" t="n">
        <x:v>90</x:v>
      </x:c>
      <x:c r="V7" s="165" t="str">
        <x:v>示例：餐櫃下櫃兩抽並排，中立中心線，扣90</x:v>
      </x:c>
      <x:c r="W7" s="165" t="n">
        <x:f>E7*2</x:f>
        <x:v>4</x:v>
      </x:c>
      <x:c r="X7" s="165" t="n">
        <x:f>E7*2</x:f>
        <x:v>4</x:v>
      </x:c>
      <x:c r="Y7" s="165" t="n">
        <x:f>E7*F7</x:f>
        <x:v>2</x:v>
      </x:c>
      <x:c r="Z7" s="165" t="n">
        <x:f>E7*G7</x:f>
        <x:v>2</x:v>
      </x:c>
      <x:c r="AA7" s="166" t="n">
        <x:f>IF(J7="無",0,E7*H7)</x:f>
        <x:v>4</x:v>
      </x:c>
      <x:c r="AB7" t="n">
        <x:f>IF(OR(ISNUMBER(SEARCH("上櫃",A7)),ISNUMBER(SEARCH("吊櫃",A7))),E7*MAX(F7,1),E7*F7)</x:f>
        <x:v>2</x:v>
      </x:c>
    </x:row>
    <x:row r="8">
      <x:c r="A8" s="164"/>
      <x:c r="B8" s="165"/>
      <x:c r="C8" s="165"/>
      <x:c r="D8" s="165"/>
      <x:c r="E8" s="165"/>
      <x:c r="F8" s="165"/>
      <x:c r="G8" s="165"/>
      <x:c r="H8" s="165"/>
      <x:c r="I8" s="165"/>
      <x:c r="J8" s="165"/>
      <x:c r="K8" s="165"/>
      <x:c r="L8" s="165"/>
      <x:c r="M8" s="165"/>
      <x:c r="N8" s="165"/>
      <x:c r="O8" s="165"/>
      <x:c r="P8" s="165"/>
      <x:c r="Q8" s="165"/>
      <x:c r="R8" s="165"/>
      <x:c r="S8" s="165"/>
      <x:c r="T8" s="165"/>
      <x:c r="U8" s="165"/>
      <x:c r="V8" s="165"/>
      <x:c r="W8" s="165" t="n">
        <x:f>E8*2</x:f>
        <x:v>0</x:v>
      </x:c>
      <x:c r="X8" s="165" t="n">
        <x:f>E8*2</x:f>
        <x:v>0</x:v>
      </x:c>
      <x:c r="Y8" s="165" t="n">
        <x:f>E8*F8</x:f>
        <x:v>0</x:v>
      </x:c>
      <x:c r="Z8" s="165" t="n">
        <x:f>E8*G8</x:f>
        <x:v>0</x:v>
      </x:c>
      <x:c r="AA8" s="166" t="n">
        <x:f>IF(J8="無",0,E8*H8)</x:f>
        <x:v>0</x:v>
      </x:c>
      <x:c r="AB8" t="n">
        <x:f>IF(OR(ISNUMBER(SEARCH("上櫃",A8)),ISNUMBER(SEARCH("吊櫃",A8))),E8*MAX(F8,1),E8*F8)</x:f>
        <x:v>0</x:v>
      </x:c>
    </x:row>
    <x:row r="9">
      <x:c r="A9" s="164"/>
      <x:c r="B9" s="165"/>
      <x:c r="C9" s="165"/>
      <x:c r="D9" s="165"/>
      <x:c r="E9" s="165"/>
      <x:c r="F9" s="165"/>
      <x:c r="G9" s="165"/>
      <x:c r="H9" s="165"/>
      <x:c r="I9" s="165"/>
      <x:c r="J9" s="165"/>
      <x:c r="K9" s="165"/>
      <x:c r="L9" s="165"/>
      <x:c r="M9" s="165"/>
      <x:c r="N9" s="165"/>
      <x:c r="O9" s="165"/>
      <x:c r="P9" s="165"/>
      <x:c r="Q9" s="165"/>
      <x:c r="R9" s="165"/>
      <x:c r="S9" s="165"/>
      <x:c r="T9" s="165"/>
      <x:c r="U9" s="165"/>
      <x:c r="V9" s="165"/>
      <x:c r="W9" s="165" t="n">
        <x:f>E9*2</x:f>
        <x:v>0</x:v>
      </x:c>
      <x:c r="X9" s="165" t="n">
        <x:f>E9*2</x:f>
        <x:v>0</x:v>
      </x:c>
      <x:c r="Y9" s="165" t="n">
        <x:f>E9*F9</x:f>
        <x:v>0</x:v>
      </x:c>
      <x:c r="Z9" s="165" t="n">
        <x:f>E9*G9</x:f>
        <x:v>0</x:v>
      </x:c>
      <x:c r="AA9" s="166" t="n">
        <x:f>IF(J9="無",0,E9*H9)</x:f>
        <x:v>0</x:v>
      </x:c>
      <x:c r="AB9" t="n">
        <x:f>IF(OR(ISNUMBER(SEARCH("上櫃",A9)),ISNUMBER(SEARCH("吊櫃",A9))),E9*MAX(F9,1),E9*F9)</x:f>
        <x:v>0</x:v>
      </x:c>
    </x:row>
    <x:row r="10">
      <x:c r="A10" s="164"/>
      <x:c r="B10" s="165"/>
      <x:c r="C10" s="165"/>
      <x:c r="D10" s="165"/>
      <x:c r="E10" s="165"/>
      <x:c r="F10" s="165"/>
      <x:c r="G10" s="165"/>
      <x:c r="H10" s="165"/>
      <x:c r="I10" s="165"/>
      <x:c r="J10" s="165"/>
      <x:c r="K10" s="165"/>
      <x:c r="L10" s="165"/>
      <x:c r="M10" s="165"/>
      <x:c r="N10" s="165"/>
      <x:c r="O10" s="165"/>
      <x:c r="P10" s="165"/>
      <x:c r="Q10" s="165"/>
      <x:c r="R10" s="165"/>
      <x:c r="S10" s="165"/>
      <x:c r="T10" s="165"/>
      <x:c r="U10" s="165"/>
      <x:c r="V10" s="165"/>
      <x:c r="W10" s="165" t="n">
        <x:f>E10*2</x:f>
        <x:v>0</x:v>
      </x:c>
      <x:c r="X10" s="165" t="n">
        <x:f>E10*2</x:f>
        <x:v>0</x:v>
      </x:c>
      <x:c r="Y10" s="165" t="n">
        <x:f>E10*F10</x:f>
        <x:v>0</x:v>
      </x:c>
      <x:c r="Z10" s="165" t="n">
        <x:f>E10*G10</x:f>
        <x:v>0</x:v>
      </x:c>
      <x:c r="AA10" s="166" t="n">
        <x:f>IF(J10="無",0,E10*H10)</x:f>
        <x:v>0</x:v>
      </x:c>
      <x:c r="AB10" t="n">
        <x:f>IF(OR(ISNUMBER(SEARCH("上櫃",A10)),ISNUMBER(SEARCH("吊櫃",A10))),E10*MAX(F10,1),E10*F10)</x:f>
        <x:v>0</x:v>
      </x:c>
    </x:row>
    <x:row r="11">
      <x:c r="A11" s="164"/>
      <x:c r="B11" s="165"/>
      <x:c r="C11" s="165"/>
      <x:c r="D11" s="165"/>
      <x:c r="E11" s="165"/>
      <x:c r="F11" s="165"/>
      <x:c r="G11" s="165"/>
      <x:c r="H11" s="165"/>
      <x:c r="I11" s="165"/>
      <x:c r="J11" s="165"/>
      <x:c r="K11" s="165"/>
      <x:c r="L11" s="165"/>
      <x:c r="M11" s="165"/>
      <x:c r="N11" s="165"/>
      <x:c r="O11" s="165"/>
      <x:c r="P11" s="165"/>
      <x:c r="Q11" s="165"/>
      <x:c r="R11" s="165"/>
      <x:c r="S11" s="165"/>
      <x:c r="T11" s="165"/>
      <x:c r="U11" s="165"/>
      <x:c r="V11" s="165"/>
      <x:c r="W11" s="165" t="n">
        <x:f>E11*2</x:f>
        <x:v>0</x:v>
      </x:c>
      <x:c r="X11" s="165" t="n">
        <x:f>E11*2</x:f>
        <x:v>0</x:v>
      </x:c>
      <x:c r="Y11" s="165" t="n">
        <x:f>E11*F11</x:f>
        <x:v>0</x:v>
      </x:c>
      <x:c r="Z11" s="165" t="n">
        <x:f>E11*G11</x:f>
        <x:v>0</x:v>
      </x:c>
      <x:c r="AA11" s="166" t="n">
        <x:f>IF(J11="無",0,E11*H11)</x:f>
        <x:v>0</x:v>
      </x:c>
      <x:c r="AB11" t="n">
        <x:f>IF(OR(ISNUMBER(SEARCH("上櫃",A11)),ISNUMBER(SEARCH("吊櫃",A11))),E11*MAX(F11,1),E11*F11)</x:f>
        <x:v>0</x:v>
      </x:c>
    </x:row>
    <x:row r="12">
      <x:c r="A12" s="164"/>
      <x:c r="B12" s="165"/>
      <x:c r="C12" s="165"/>
      <x:c r="D12" s="165"/>
      <x:c r="E12" s="165"/>
      <x:c r="F12" s="165"/>
      <x:c r="G12" s="165"/>
      <x:c r="H12" s="165"/>
      <x:c r="I12" s="165"/>
      <x:c r="J12" s="165"/>
      <x:c r="K12" s="165"/>
      <x:c r="L12" s="165"/>
      <x:c r="M12" s="165"/>
      <x:c r="N12" s="165"/>
      <x:c r="O12" s="165"/>
      <x:c r="P12" s="165"/>
      <x:c r="Q12" s="165"/>
      <x:c r="R12" s="165"/>
      <x:c r="S12" s="165"/>
      <x:c r="T12" s="165"/>
      <x:c r="U12" s="165"/>
      <x:c r="V12" s="165"/>
      <x:c r="W12" s="165" t="n">
        <x:f>E12*2</x:f>
        <x:v>0</x:v>
      </x:c>
      <x:c r="X12" s="165" t="n">
        <x:f>E12*2</x:f>
        <x:v>0</x:v>
      </x:c>
      <x:c r="Y12" s="165" t="n">
        <x:f>E12*F12</x:f>
        <x:v>0</x:v>
      </x:c>
      <x:c r="Z12" s="165" t="n">
        <x:f>E12*G12</x:f>
        <x:v>0</x:v>
      </x:c>
      <x:c r="AA12" s="166" t="n">
        <x:f>IF(J12="無",0,E12*H12)</x:f>
        <x:v>0</x:v>
      </x:c>
      <x:c r="AB12" t="n">
        <x:f>IF(OR(ISNUMBER(SEARCH("上櫃",A12)),ISNUMBER(SEARCH("吊櫃",A12))),E12*MAX(F12,1),E12*F12)</x:f>
        <x:v>0</x:v>
      </x:c>
    </x:row>
    <x:row r="13">
      <x:c r="A13" s="164"/>
      <x:c r="B13" s="165"/>
      <x:c r="C13" s="165"/>
      <x:c r="D13" s="165"/>
      <x:c r="E13" s="165"/>
      <x:c r="F13" s="165"/>
      <x:c r="G13" s="165"/>
      <x:c r="H13" s="165"/>
      <x:c r="I13" s="165"/>
      <x:c r="J13" s="165"/>
      <x:c r="K13" s="165"/>
      <x:c r="L13" s="165"/>
      <x:c r="M13" s="165"/>
      <x:c r="N13" s="165"/>
      <x:c r="O13" s="165"/>
      <x:c r="P13" s="165"/>
      <x:c r="Q13" s="165"/>
      <x:c r="R13" s="165"/>
      <x:c r="S13" s="165"/>
      <x:c r="T13" s="165"/>
      <x:c r="U13" s="165"/>
      <x:c r="V13" s="165"/>
      <x:c r="W13" s="165" t="n">
        <x:f>E13*2</x:f>
        <x:v>0</x:v>
      </x:c>
      <x:c r="X13" s="165" t="n">
        <x:f>E13*2</x:f>
        <x:v>0</x:v>
      </x:c>
      <x:c r="Y13" s="165" t="n">
        <x:f>E13*F13</x:f>
        <x:v>0</x:v>
      </x:c>
      <x:c r="Z13" s="165" t="n">
        <x:f>E13*G13</x:f>
        <x:v>0</x:v>
      </x:c>
      <x:c r="AA13" s="166" t="n">
        <x:f>IF(J13="無",0,E13*H13)</x:f>
        <x:v>0</x:v>
      </x:c>
      <x:c r="AB13" t="n">
        <x:f>IF(OR(ISNUMBER(SEARCH("上櫃",A13)),ISNUMBER(SEARCH("吊櫃",A13))),E13*MAX(F13,1),E13*F13)</x:f>
        <x:v>0</x:v>
      </x:c>
    </x:row>
    <x:row r="14">
      <x:c r="A14" s="164"/>
      <x:c r="B14" s="165"/>
      <x:c r="C14" s="165"/>
      <x:c r="D14" s="165"/>
      <x:c r="E14" s="165"/>
      <x:c r="F14" s="165"/>
      <x:c r="G14" s="165"/>
      <x:c r="H14" s="165"/>
      <x:c r="I14" s="165"/>
      <x:c r="J14" s="165"/>
      <x:c r="K14" s="165"/>
      <x:c r="L14" s="165"/>
      <x:c r="M14" s="165"/>
      <x:c r="N14" s="165"/>
      <x:c r="O14" s="165"/>
      <x:c r="P14" s="165"/>
      <x:c r="Q14" s="165"/>
      <x:c r="R14" s="165"/>
      <x:c r="S14" s="165"/>
      <x:c r="T14" s="165"/>
      <x:c r="U14" s="165"/>
      <x:c r="V14" s="165"/>
      <x:c r="W14" s="165" t="n">
        <x:f>E14*2</x:f>
        <x:v>0</x:v>
      </x:c>
      <x:c r="X14" s="165" t="n">
        <x:f>E14*2</x:f>
        <x:v>0</x:v>
      </x:c>
      <x:c r="Y14" s="165" t="n">
        <x:f>E14*F14</x:f>
        <x:v>0</x:v>
      </x:c>
      <x:c r="Z14" s="165" t="n">
        <x:f>E14*G14</x:f>
        <x:v>0</x:v>
      </x:c>
      <x:c r="AA14" s="166" t="n">
        <x:f>IF(J14="無",0,E14*H14)</x:f>
        <x:v>0</x:v>
      </x:c>
      <x:c r="AB14" t="n">
        <x:f>IF(OR(ISNUMBER(SEARCH("上櫃",A14)),ISNUMBER(SEARCH("吊櫃",A14))),E14*MAX(F14,1),E14*F14)</x:f>
        <x:v>0</x:v>
      </x:c>
    </x:row>
    <x:row r="15">
      <x:c r="A15" s="164"/>
      <x:c r="B15" s="165"/>
      <x:c r="C15" s="165"/>
      <x:c r="D15" s="165"/>
      <x:c r="E15" s="165"/>
      <x:c r="F15" s="165"/>
      <x:c r="G15" s="165"/>
      <x:c r="H15" s="165"/>
      <x:c r="I15" s="165"/>
      <x:c r="J15" s="165"/>
      <x:c r="K15" s="165"/>
      <x:c r="L15" s="165"/>
      <x:c r="M15" s="165"/>
      <x:c r="N15" s="165"/>
      <x:c r="O15" s="165"/>
      <x:c r="P15" s="165"/>
      <x:c r="Q15" s="165"/>
      <x:c r="R15" s="165"/>
      <x:c r="S15" s="165"/>
      <x:c r="T15" s="165"/>
      <x:c r="U15" s="165"/>
      <x:c r="V15" s="165"/>
      <x:c r="W15" s="165" t="n">
        <x:f>E15*2</x:f>
        <x:v>0</x:v>
      </x:c>
      <x:c r="X15" s="165" t="n">
        <x:f>E15*2</x:f>
        <x:v>0</x:v>
      </x:c>
      <x:c r="Y15" s="165" t="n">
        <x:f>E15*F15</x:f>
        <x:v>0</x:v>
      </x:c>
      <x:c r="Z15" s="165" t="n">
        <x:f>E15*G15</x:f>
        <x:v>0</x:v>
      </x:c>
      <x:c r="AA15" s="166" t="n">
        <x:f>IF(J15="無",0,E15*H15)</x:f>
        <x:v>0</x:v>
      </x:c>
      <x:c r="AB15" t="n">
        <x:f>IF(OR(ISNUMBER(SEARCH("上櫃",A15)),ISNUMBER(SEARCH("吊櫃",A15))),E15*MAX(F15,1),E15*F15)</x:f>
        <x:v>0</x:v>
      </x:c>
    </x:row>
    <x:row r="16">
      <x:c r="A16" s="164"/>
      <x:c r="B16" s="165"/>
      <x:c r="C16" s="165"/>
      <x:c r="D16" s="165"/>
      <x:c r="E16" s="165"/>
      <x:c r="F16" s="165"/>
      <x:c r="G16" s="165"/>
      <x:c r="H16" s="165"/>
      <x:c r="I16" s="165"/>
      <x:c r="J16" s="165"/>
      <x:c r="K16" s="165"/>
      <x:c r="L16" s="165"/>
      <x:c r="M16" s="165"/>
      <x:c r="N16" s="165"/>
      <x:c r="O16" s="165"/>
      <x:c r="P16" s="165"/>
      <x:c r="Q16" s="165"/>
      <x:c r="R16" s="165"/>
      <x:c r="S16" s="165"/>
      <x:c r="T16" s="165"/>
      <x:c r="U16" s="165"/>
      <x:c r="V16" s="165"/>
      <x:c r="W16" s="165" t="n">
        <x:f>E16*2</x:f>
        <x:v>0</x:v>
      </x:c>
      <x:c r="X16" s="165" t="n">
        <x:f>E16*2</x:f>
        <x:v>0</x:v>
      </x:c>
      <x:c r="Y16" s="165" t="n">
        <x:f>E16*F16</x:f>
        <x:v>0</x:v>
      </x:c>
      <x:c r="Z16" s="165" t="n">
        <x:f>E16*G16</x:f>
        <x:v>0</x:v>
      </x:c>
      <x:c r="AA16" s="166" t="n">
        <x:f>IF(J16="無",0,E16*H16)</x:f>
        <x:v>0</x:v>
      </x:c>
      <x:c r="AB16" t="n">
        <x:f>IF(OR(ISNUMBER(SEARCH("上櫃",A16)),ISNUMBER(SEARCH("吊櫃",A16))),E16*MAX(F16,1),E16*F16)</x:f>
        <x:v>0</x:v>
      </x:c>
    </x:row>
    <x:row r="17">
      <x:c r="A17" s="164"/>
      <x:c r="B17" s="165"/>
      <x:c r="C17" s="165"/>
      <x:c r="D17" s="165"/>
      <x:c r="E17" s="165"/>
      <x:c r="F17" s="165"/>
      <x:c r="G17" s="165"/>
      <x:c r="H17" s="165"/>
      <x:c r="I17" s="165"/>
      <x:c r="J17" s="165"/>
      <x:c r="K17" s="165"/>
      <x:c r="L17" s="165"/>
      <x:c r="M17" s="165"/>
      <x:c r="N17" s="165"/>
      <x:c r="O17" s="165"/>
      <x:c r="P17" s="165"/>
      <x:c r="Q17" s="165"/>
      <x:c r="R17" s="165"/>
      <x:c r="S17" s="165"/>
      <x:c r="T17" s="165"/>
      <x:c r="U17" s="165"/>
      <x:c r="V17" s="165"/>
      <x:c r="W17" s="165" t="n">
        <x:f>E17*2</x:f>
        <x:v>0</x:v>
      </x:c>
      <x:c r="X17" s="165" t="n">
        <x:f>E17*2</x:f>
        <x:v>0</x:v>
      </x:c>
      <x:c r="Y17" s="165" t="n">
        <x:f>E17*F17</x:f>
        <x:v>0</x:v>
      </x:c>
      <x:c r="Z17" s="165" t="n">
        <x:f>E17*G17</x:f>
        <x:v>0</x:v>
      </x:c>
      <x:c r="AA17" s="166" t="n">
        <x:f>IF(J17="無",0,E17*H17)</x:f>
        <x:v>0</x:v>
      </x:c>
      <x:c r="AB17" t="n">
        <x:f>IF(OR(ISNUMBER(SEARCH("上櫃",A17)),ISNUMBER(SEARCH("吊櫃",A17))),E17*MAX(F17,1),E17*F17)</x:f>
        <x:v>0</x:v>
      </x:c>
    </x:row>
    <x:row r="18">
      <x:c r="A18" s="164"/>
      <x:c r="B18" s="165"/>
      <x:c r="C18" s="165"/>
      <x:c r="D18" s="165"/>
      <x:c r="E18" s="165"/>
      <x:c r="F18" s="165"/>
      <x:c r="G18" s="165"/>
      <x:c r="H18" s="165"/>
      <x:c r="I18" s="165"/>
      <x:c r="J18" s="165"/>
      <x:c r="K18" s="165"/>
      <x:c r="L18" s="165"/>
      <x:c r="M18" s="165"/>
      <x:c r="N18" s="165"/>
      <x:c r="O18" s="165"/>
      <x:c r="P18" s="165"/>
      <x:c r="Q18" s="165"/>
      <x:c r="R18" s="165"/>
      <x:c r="S18" s="165"/>
      <x:c r="T18" s="165"/>
      <x:c r="U18" s="165"/>
      <x:c r="V18" s="165"/>
      <x:c r="W18" s="165" t="n">
        <x:f>E18*2</x:f>
        <x:v>0</x:v>
      </x:c>
      <x:c r="X18" s="165" t="n">
        <x:f>E18*2</x:f>
        <x:v>0</x:v>
      </x:c>
      <x:c r="Y18" s="165" t="n">
        <x:f>E18*F18</x:f>
        <x:v>0</x:v>
      </x:c>
      <x:c r="Z18" s="165" t="n">
        <x:f>E18*G18</x:f>
        <x:v>0</x:v>
      </x:c>
      <x:c r="AA18" s="166" t="n">
        <x:f>IF(J18="無",0,E18*H18)</x:f>
        <x:v>0</x:v>
      </x:c>
      <x:c r="AB18" t="n">
        <x:f>IF(OR(ISNUMBER(SEARCH("上櫃",A18)),ISNUMBER(SEARCH("吊櫃",A18))),E18*MAX(F18,1),E18*F18)</x:f>
        <x:v>0</x:v>
      </x:c>
    </x:row>
    <x:row r="19">
      <x:c r="A19" s="164"/>
      <x:c r="B19" s="165"/>
      <x:c r="C19" s="165"/>
      <x:c r="D19" s="165"/>
      <x:c r="E19" s="165"/>
      <x:c r="F19" s="165"/>
      <x:c r="G19" s="165"/>
      <x:c r="H19" s="165"/>
      <x:c r="I19" s="165"/>
      <x:c r="J19" s="165"/>
      <x:c r="K19" s="165"/>
      <x:c r="L19" s="165"/>
      <x:c r="M19" s="165"/>
      <x:c r="N19" s="165"/>
      <x:c r="O19" s="165"/>
      <x:c r="P19" s="165"/>
      <x:c r="Q19" s="165"/>
      <x:c r="R19" s="165"/>
      <x:c r="S19" s="165"/>
      <x:c r="T19" s="165"/>
      <x:c r="U19" s="165"/>
      <x:c r="V19" s="165"/>
      <x:c r="W19" s="165" t="n">
        <x:f>E19*2</x:f>
        <x:v>0</x:v>
      </x:c>
      <x:c r="X19" s="165" t="n">
        <x:f>E19*2</x:f>
        <x:v>0</x:v>
      </x:c>
      <x:c r="Y19" s="165" t="n">
        <x:f>E19*F19</x:f>
        <x:v>0</x:v>
      </x:c>
      <x:c r="Z19" s="165" t="n">
        <x:f>E19*G19</x:f>
        <x:v>0</x:v>
      </x:c>
      <x:c r="AA19" s="166" t="n">
        <x:f>IF(J19="無",0,E19*H19)</x:f>
        <x:v>0</x:v>
      </x:c>
      <x:c r="AB19" t="n">
        <x:f>IF(OR(ISNUMBER(SEARCH("上櫃",A19)),ISNUMBER(SEARCH("吊櫃",A19))),E19*MAX(F19,1),E19*F19)</x:f>
        <x:v>0</x:v>
      </x:c>
    </x:row>
    <x:row r="20">
      <x:c r="A20" s="164"/>
      <x:c r="B20" s="165"/>
      <x:c r="C20" s="165"/>
      <x:c r="D20" s="165"/>
      <x:c r="E20" s="165"/>
      <x:c r="F20" s="165"/>
      <x:c r="G20" s="165"/>
      <x:c r="H20" s="165"/>
      <x:c r="I20" s="165"/>
      <x:c r="J20" s="165"/>
      <x:c r="K20" s="165"/>
      <x:c r="L20" s="165"/>
      <x:c r="M20" s="165"/>
      <x:c r="N20" s="165"/>
      <x:c r="O20" s="165"/>
      <x:c r="P20" s="165"/>
      <x:c r="Q20" s="165"/>
      <x:c r="R20" s="165"/>
      <x:c r="S20" s="165"/>
      <x:c r="T20" s="165"/>
      <x:c r="U20" s="165"/>
      <x:c r="V20" s="165"/>
      <x:c r="W20" s="165" t="n">
        <x:f>E20*2</x:f>
        <x:v>0</x:v>
      </x:c>
      <x:c r="X20" s="165" t="n">
        <x:f>E20*2</x:f>
        <x:v>0</x:v>
      </x:c>
      <x:c r="Y20" s="165" t="n">
        <x:f>E20*F20</x:f>
        <x:v>0</x:v>
      </x:c>
      <x:c r="Z20" s="165" t="n">
        <x:f>E20*G20</x:f>
        <x:v>0</x:v>
      </x:c>
      <x:c r="AA20" s="166" t="n">
        <x:f>IF(J20="無",0,E20*H20)</x:f>
        <x:v>0</x:v>
      </x:c>
      <x:c r="AB20" t="n">
        <x:f>IF(OR(ISNUMBER(SEARCH("上櫃",A20)),ISNUMBER(SEARCH("吊櫃",A20))),E20*MAX(F20,1),E20*F20)</x:f>
        <x:v>0</x:v>
      </x:c>
    </x:row>
    <x:row r="21">
      <x:c r="A21" s="164"/>
      <x:c r="B21" s="165"/>
      <x:c r="C21" s="165"/>
      <x:c r="D21" s="165"/>
      <x:c r="E21" s="165"/>
      <x:c r="F21" s="165"/>
      <x:c r="G21" s="165"/>
      <x:c r="H21" s="165"/>
      <x:c r="I21" s="165"/>
      <x:c r="J21" s="165"/>
      <x:c r="K21" s="165"/>
      <x:c r="L21" s="165"/>
      <x:c r="M21" s="165"/>
      <x:c r="N21" s="165"/>
      <x:c r="O21" s="165"/>
      <x:c r="P21" s="165"/>
      <x:c r="Q21" s="165"/>
      <x:c r="R21" s="165"/>
      <x:c r="S21" s="165"/>
      <x:c r="T21" s="165"/>
      <x:c r="U21" s="165"/>
      <x:c r="V21" s="165"/>
      <x:c r="W21" s="165" t="n">
        <x:f>E21*2</x:f>
        <x:v>0</x:v>
      </x:c>
      <x:c r="X21" s="165" t="n">
        <x:f>E21*2</x:f>
        <x:v>0</x:v>
      </x:c>
      <x:c r="Y21" s="165" t="n">
        <x:f>E21*F21</x:f>
        <x:v>0</x:v>
      </x:c>
      <x:c r="Z21" s="165" t="n">
        <x:f>E21*G21</x:f>
        <x:v>0</x:v>
      </x:c>
      <x:c r="AA21" s="166" t="n">
        <x:f>IF(J21="無",0,E21*H21)</x:f>
        <x:v>0</x:v>
      </x:c>
      <x:c r="AB21" t="n">
        <x:f>IF(OR(ISNUMBER(SEARCH("上櫃",A21)),ISNUMBER(SEARCH("吊櫃",A21))),E21*MAX(F21,1),E21*F21)</x:f>
        <x:v>0</x:v>
      </x:c>
    </x:row>
    <x:row r="22">
      <x:c r="A22" s="164"/>
      <x:c r="B22" s="165"/>
      <x:c r="C22" s="165"/>
      <x:c r="D22" s="165"/>
      <x:c r="E22" s="165"/>
      <x:c r="F22" s="165"/>
      <x:c r="G22" s="165"/>
      <x:c r="H22" s="165"/>
      <x:c r="I22" s="165"/>
      <x:c r="J22" s="165"/>
      <x:c r="K22" s="165"/>
      <x:c r="L22" s="165"/>
      <x:c r="M22" s="165"/>
      <x:c r="N22" s="165"/>
      <x:c r="O22" s="165"/>
      <x:c r="P22" s="165"/>
      <x:c r="Q22" s="165"/>
      <x:c r="R22" s="165"/>
      <x:c r="S22" s="165"/>
      <x:c r="T22" s="165"/>
      <x:c r="U22" s="165"/>
      <x:c r="V22" s="165"/>
      <x:c r="W22" s="165" t="n">
        <x:f>E22*2</x:f>
        <x:v>0</x:v>
      </x:c>
      <x:c r="X22" s="165" t="n">
        <x:f>E22*2</x:f>
        <x:v>0</x:v>
      </x:c>
      <x:c r="Y22" s="165" t="n">
        <x:f>E22*F22</x:f>
        <x:v>0</x:v>
      </x:c>
      <x:c r="Z22" s="165" t="n">
        <x:f>E22*G22</x:f>
        <x:v>0</x:v>
      </x:c>
      <x:c r="AA22" s="166" t="n">
        <x:f>IF(J22="無",0,E22*H22)</x:f>
        <x:v>0</x:v>
      </x:c>
      <x:c r="AB22" t="n">
        <x:f>IF(OR(ISNUMBER(SEARCH("上櫃",A22)),ISNUMBER(SEARCH("吊櫃",A22))),E22*MAX(F22,1),E22*F22)</x:f>
        <x:v>0</x:v>
      </x:c>
    </x:row>
    <x:row r="23">
      <x:c r="A23" s="164"/>
      <x:c r="B23" s="165"/>
      <x:c r="C23" s="165"/>
      <x:c r="D23" s="165"/>
      <x:c r="E23" s="165"/>
      <x:c r="F23" s="165"/>
      <x:c r="G23" s="165"/>
      <x:c r="H23" s="165"/>
      <x:c r="I23" s="165"/>
      <x:c r="J23" s="165"/>
      <x:c r="K23" s="165"/>
      <x:c r="L23" s="165"/>
      <x:c r="M23" s="165"/>
      <x:c r="N23" s="165"/>
      <x:c r="O23" s="165"/>
      <x:c r="P23" s="165"/>
      <x:c r="Q23" s="165"/>
      <x:c r="R23" s="165"/>
      <x:c r="S23" s="165"/>
      <x:c r="T23" s="165"/>
      <x:c r="U23" s="165"/>
      <x:c r="V23" s="165"/>
      <x:c r="W23" s="165" t="n">
        <x:f>E23*2</x:f>
        <x:v>0</x:v>
      </x:c>
      <x:c r="X23" s="165" t="n">
        <x:f>E23*2</x:f>
        <x:v>0</x:v>
      </x:c>
      <x:c r="Y23" s="165" t="n">
        <x:f>E23*F23</x:f>
        <x:v>0</x:v>
      </x:c>
      <x:c r="Z23" s="165" t="n">
        <x:f>E23*G23</x:f>
        <x:v>0</x:v>
      </x:c>
      <x:c r="AA23" s="166" t="n">
        <x:f>IF(J23="無",0,E23*H23)</x:f>
        <x:v>0</x:v>
      </x:c>
      <x:c r="AB23" t="n">
        <x:f>IF(OR(ISNUMBER(SEARCH("上櫃",A23)),ISNUMBER(SEARCH("吊櫃",A23))),E23*MAX(F23,1),E23*F23)</x:f>
        <x:v>0</x:v>
      </x:c>
    </x:row>
    <x:row r="24">
      <x:c r="A24" s="164"/>
      <x:c r="B24" s="165"/>
      <x:c r="C24" s="165"/>
      <x:c r="D24" s="165"/>
      <x:c r="E24" s="165"/>
      <x:c r="F24" s="165"/>
      <x:c r="G24" s="165"/>
      <x:c r="H24" s="165"/>
      <x:c r="I24" s="165"/>
      <x:c r="J24" s="165"/>
      <x:c r="K24" s="165"/>
      <x:c r="L24" s="165"/>
      <x:c r="M24" s="165"/>
      <x:c r="N24" s="165"/>
      <x:c r="O24" s="165"/>
      <x:c r="P24" s="165"/>
      <x:c r="Q24" s="165"/>
      <x:c r="R24" s="165"/>
      <x:c r="S24" s="165"/>
      <x:c r="T24" s="165"/>
      <x:c r="U24" s="165"/>
      <x:c r="V24" s="165"/>
      <x:c r="W24" s="165" t="n">
        <x:f>E24*2</x:f>
        <x:v>0</x:v>
      </x:c>
      <x:c r="X24" s="165" t="n">
        <x:f>E24*2</x:f>
        <x:v>0</x:v>
      </x:c>
      <x:c r="Y24" s="165" t="n">
        <x:f>E24*F24</x:f>
        <x:v>0</x:v>
      </x:c>
      <x:c r="Z24" s="165" t="n">
        <x:f>E24*G24</x:f>
        <x:v>0</x:v>
      </x:c>
      <x:c r="AA24" s="166" t="n">
        <x:f>IF(J24="無",0,E24*H24)</x:f>
        <x:v>0</x:v>
      </x:c>
      <x:c r="AB24" t="n">
        <x:f>IF(OR(ISNUMBER(SEARCH("上櫃",A24)),ISNUMBER(SEARCH("吊櫃",A24))),E24*MAX(F24,1),E24*F24)</x:f>
        <x:v>0</x:v>
      </x:c>
    </x:row>
    <x:row r="25">
      <x:c r="A25" s="164"/>
      <x:c r="B25" s="165"/>
      <x:c r="C25" s="165"/>
      <x:c r="D25" s="165"/>
      <x:c r="E25" s="165"/>
      <x:c r="F25" s="165"/>
      <x:c r="G25" s="165"/>
      <x:c r="H25" s="165"/>
      <x:c r="I25" s="165"/>
      <x:c r="J25" s="165"/>
      <x:c r="K25" s="165"/>
      <x:c r="L25" s="165"/>
      <x:c r="M25" s="165"/>
      <x:c r="N25" s="165"/>
      <x:c r="O25" s="165"/>
      <x:c r="P25" s="165"/>
      <x:c r="Q25" s="165"/>
      <x:c r="R25" s="165"/>
      <x:c r="S25" s="165"/>
      <x:c r="T25" s="165"/>
      <x:c r="U25" s="165"/>
      <x:c r="V25" s="165"/>
      <x:c r="W25" s="165" t="n">
        <x:f>E25*2</x:f>
        <x:v>0</x:v>
      </x:c>
      <x:c r="X25" s="165" t="n">
        <x:f>E25*2</x:f>
        <x:v>0</x:v>
      </x:c>
      <x:c r="Y25" s="165" t="n">
        <x:f>E25*F25</x:f>
        <x:v>0</x:v>
      </x:c>
      <x:c r="Z25" s="165" t="n">
        <x:f>E25*G25</x:f>
        <x:v>0</x:v>
      </x:c>
      <x:c r="AA25" s="166" t="n">
        <x:f>IF(J25="無",0,E25*H25)</x:f>
        <x:v>0</x:v>
      </x:c>
      <x:c r="AB25" t="n">
        <x:f>IF(OR(ISNUMBER(SEARCH("上櫃",A25)),ISNUMBER(SEARCH("吊櫃",A25))),E25*MAX(F25,1),E25*F25)</x:f>
        <x:v>0</x:v>
      </x:c>
    </x:row>
    <x:row r="26">
      <x:c r="A26" s="164"/>
      <x:c r="B26" s="165"/>
      <x:c r="C26" s="165"/>
      <x:c r="D26" s="165"/>
      <x:c r="E26" s="165"/>
      <x:c r="F26" s="165"/>
      <x:c r="G26" s="165"/>
      <x:c r="H26" s="165"/>
      <x:c r="I26" s="165"/>
      <x:c r="J26" s="165"/>
      <x:c r="K26" s="165"/>
      <x:c r="L26" s="165"/>
      <x:c r="M26" s="165"/>
      <x:c r="N26" s="165"/>
      <x:c r="O26" s="165"/>
      <x:c r="P26" s="165"/>
      <x:c r="Q26" s="165"/>
      <x:c r="R26" s="165"/>
      <x:c r="S26" s="165"/>
      <x:c r="T26" s="165"/>
      <x:c r="U26" s="165"/>
      <x:c r="V26" s="165"/>
      <x:c r="W26" s="165" t="n">
        <x:f>E26*2</x:f>
        <x:v>0</x:v>
      </x:c>
      <x:c r="X26" s="165" t="n">
        <x:f>E26*2</x:f>
        <x:v>0</x:v>
      </x:c>
      <x:c r="Y26" s="165" t="n">
        <x:f>E26*F26</x:f>
        <x:v>0</x:v>
      </x:c>
      <x:c r="Z26" s="165" t="n">
        <x:f>E26*G26</x:f>
        <x:v>0</x:v>
      </x:c>
      <x:c r="AA26" s="166" t="n">
        <x:f>IF(J26="無",0,E26*H26)</x:f>
        <x:v>0</x:v>
      </x:c>
      <x:c r="AB26" t="n">
        <x:f>IF(OR(ISNUMBER(SEARCH("上櫃",A26)),ISNUMBER(SEARCH("吊櫃",A26))),E26*MAX(F26,1),E26*F26)</x:f>
        <x:v>0</x:v>
      </x:c>
    </x:row>
    <x:row r="27">
      <x:c r="A27" s="164"/>
      <x:c r="B27" s="165"/>
      <x:c r="C27" s="165"/>
      <x:c r="D27" s="165"/>
      <x:c r="E27" s="165"/>
      <x:c r="F27" s="165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65"/>
      <x:c r="T27" s="165"/>
      <x:c r="U27" s="165"/>
      <x:c r="V27" s="165"/>
      <x:c r="W27" s="165" t="n">
        <x:f>E27*2</x:f>
        <x:v>0</x:v>
      </x:c>
      <x:c r="X27" s="165" t="n">
        <x:f>E27*2</x:f>
        <x:v>0</x:v>
      </x:c>
      <x:c r="Y27" s="165" t="n">
        <x:f>E27*F27</x:f>
        <x:v>0</x:v>
      </x:c>
      <x:c r="Z27" s="165" t="n">
        <x:f>E27*G27</x:f>
        <x:v>0</x:v>
      </x:c>
      <x:c r="AA27" s="166" t="n">
        <x:f>IF(J27="無",0,E27*H27)</x:f>
        <x:v>0</x:v>
      </x:c>
      <x:c r="AB27" t="n">
        <x:f>IF(OR(ISNUMBER(SEARCH("上櫃",A27)),ISNUMBER(SEARCH("吊櫃",A27))),E27*MAX(F27,1),E27*F27)</x:f>
        <x:v>0</x:v>
      </x:c>
    </x:row>
    <x:row r="28">
      <x:c r="A28" s="164"/>
      <x:c r="B28" s="165"/>
      <x:c r="C28" s="165"/>
      <x:c r="D28" s="165"/>
      <x:c r="E28" s="165"/>
      <x:c r="F28" s="165"/>
      <x:c r="G28" s="165"/>
      <x:c r="H28" s="165"/>
      <x:c r="I28" s="165"/>
      <x:c r="J28" s="165"/>
      <x:c r="K28" s="165"/>
      <x:c r="L28" s="165"/>
      <x:c r="M28" s="165"/>
      <x:c r="N28" s="165"/>
      <x:c r="O28" s="165"/>
      <x:c r="P28" s="165"/>
      <x:c r="Q28" s="165"/>
      <x:c r="R28" s="165"/>
      <x:c r="S28" s="165"/>
      <x:c r="T28" s="165"/>
      <x:c r="U28" s="165"/>
      <x:c r="V28" s="165"/>
      <x:c r="W28" s="165" t="n">
        <x:f>E28*2</x:f>
        <x:v>0</x:v>
      </x:c>
      <x:c r="X28" s="165" t="n">
        <x:f>E28*2</x:f>
        <x:v>0</x:v>
      </x:c>
      <x:c r="Y28" s="165" t="n">
        <x:f>E28*F28</x:f>
        <x:v>0</x:v>
      </x:c>
      <x:c r="Z28" s="165" t="n">
        <x:f>E28*G28</x:f>
        <x:v>0</x:v>
      </x:c>
      <x:c r="AA28" s="166" t="n">
        <x:f>IF(J28="無",0,E28*H28)</x:f>
        <x:v>0</x:v>
      </x:c>
      <x:c r="AB28" t="n">
        <x:f>IF(OR(ISNUMBER(SEARCH("上櫃",A28)),ISNUMBER(SEARCH("吊櫃",A28))),E28*MAX(F28,1),E28*F28)</x:f>
        <x:v>0</x:v>
      </x:c>
    </x:row>
    <x:row r="29">
      <x:c r="A29" s="164"/>
      <x:c r="B29" s="165"/>
      <x:c r="C29" s="165"/>
      <x:c r="D29" s="165"/>
      <x:c r="E29" s="165"/>
      <x:c r="F29" s="165"/>
      <x:c r="G29" s="165"/>
      <x:c r="H29" s="165"/>
      <x:c r="I29" s="165"/>
      <x:c r="J29" s="165"/>
      <x:c r="K29" s="165"/>
      <x:c r="L29" s="165"/>
      <x:c r="M29" s="165"/>
      <x:c r="N29" s="165"/>
      <x:c r="O29" s="165"/>
      <x:c r="P29" s="165"/>
      <x:c r="Q29" s="165"/>
      <x:c r="R29" s="165"/>
      <x:c r="S29" s="165"/>
      <x:c r="T29" s="165"/>
      <x:c r="U29" s="165"/>
      <x:c r="V29" s="165"/>
      <x:c r="W29" s="165" t="n">
        <x:f>E29*2</x:f>
        <x:v>0</x:v>
      </x:c>
      <x:c r="X29" s="165" t="n">
        <x:f>E29*2</x:f>
        <x:v>0</x:v>
      </x:c>
      <x:c r="Y29" s="165" t="n">
        <x:f>E29*F29</x:f>
        <x:v>0</x:v>
      </x:c>
      <x:c r="Z29" s="165" t="n">
        <x:f>E29*G29</x:f>
        <x:v>0</x:v>
      </x:c>
      <x:c r="AA29" s="166" t="n">
        <x:f>IF(J29="無",0,E29*H29)</x:f>
        <x:v>0</x:v>
      </x:c>
      <x:c r="AB29" t="n">
        <x:f>IF(OR(ISNUMBER(SEARCH("上櫃",A29)),ISNUMBER(SEARCH("吊櫃",A29))),E29*MAX(F29,1),E29*F29)</x:f>
        <x:v>0</x:v>
      </x:c>
    </x:row>
    <x:row r="30">
      <x:c r="A30" s="164"/>
      <x:c r="B30" s="165"/>
      <x:c r="C30" s="165"/>
      <x:c r="D30" s="165"/>
      <x:c r="E30" s="165"/>
      <x:c r="F30" s="165"/>
      <x:c r="G30" s="165"/>
      <x:c r="H30" s="165"/>
      <x:c r="I30" s="165"/>
      <x:c r="J30" s="165"/>
      <x:c r="K30" s="165"/>
      <x:c r="L30" s="165"/>
      <x:c r="M30" s="165"/>
      <x:c r="N30" s="165"/>
      <x:c r="O30" s="165"/>
      <x:c r="P30" s="165"/>
      <x:c r="Q30" s="165"/>
      <x:c r="R30" s="165"/>
      <x:c r="S30" s="165"/>
      <x:c r="T30" s="165"/>
      <x:c r="U30" s="165"/>
      <x:c r="V30" s="165"/>
      <x:c r="W30" s="165" t="n">
        <x:f>E30*2</x:f>
        <x:v>0</x:v>
      </x:c>
      <x:c r="X30" s="165" t="n">
        <x:f>E30*2</x:f>
        <x:v>0</x:v>
      </x:c>
      <x:c r="Y30" s="165" t="n">
        <x:f>E30*F30</x:f>
        <x:v>0</x:v>
      </x:c>
      <x:c r="Z30" s="165" t="n">
        <x:f>E30*G30</x:f>
        <x:v>0</x:v>
      </x:c>
      <x:c r="AA30" s="166" t="n">
        <x:f>IF(J30="無",0,E30*H30)</x:f>
        <x:v>0</x:v>
      </x:c>
      <x:c r="AB30" t="n">
        <x:f>IF(OR(ISNUMBER(SEARCH("上櫃",A30)),ISNUMBER(SEARCH("吊櫃",A30))),E30*MAX(F30,1),E30*F30)</x:f>
        <x:v>0</x:v>
      </x:c>
    </x:row>
    <x:row r="31">
      <x:c r="A31" s="164"/>
      <x:c r="B31" s="165"/>
      <x:c r="C31" s="165"/>
      <x:c r="D31" s="165"/>
      <x:c r="E31" s="165"/>
      <x:c r="F31" s="165"/>
      <x:c r="G31" s="165"/>
      <x:c r="H31" s="165"/>
      <x:c r="I31" s="165"/>
      <x:c r="J31" s="165"/>
      <x:c r="K31" s="165"/>
      <x:c r="L31" s="165"/>
      <x:c r="M31" s="165"/>
      <x:c r="N31" s="165"/>
      <x:c r="O31" s="165"/>
      <x:c r="P31" s="165"/>
      <x:c r="Q31" s="165"/>
      <x:c r="R31" s="165"/>
      <x:c r="S31" s="165"/>
      <x:c r="T31" s="165"/>
      <x:c r="U31" s="165"/>
      <x:c r="V31" s="165"/>
      <x:c r="W31" s="165" t="n">
        <x:f>E31*2</x:f>
        <x:v>0</x:v>
      </x:c>
      <x:c r="X31" s="165" t="n">
        <x:f>E31*2</x:f>
        <x:v>0</x:v>
      </x:c>
      <x:c r="Y31" s="165" t="n">
        <x:f>E31*F31</x:f>
        <x:v>0</x:v>
      </x:c>
      <x:c r="Z31" s="165" t="n">
        <x:f>E31*G31</x:f>
        <x:v>0</x:v>
      </x:c>
      <x:c r="AA31" s="166" t="n">
        <x:f>IF(J31="無",0,E31*H31)</x:f>
        <x:v>0</x:v>
      </x:c>
      <x:c r="AB31" t="n">
        <x:f>IF(OR(ISNUMBER(SEARCH("上櫃",A31)),ISNUMBER(SEARCH("吊櫃",A31))),E31*MAX(F31,1),E31*F31)</x:f>
        <x:v>0</x:v>
      </x:c>
    </x:row>
    <x:row r="32">
      <x:c r="A32" s="164"/>
      <x:c r="B32" s="165"/>
      <x:c r="C32" s="165"/>
      <x:c r="D32" s="165"/>
      <x:c r="E32" s="165"/>
      <x:c r="F32" s="165"/>
      <x:c r="G32" s="165"/>
      <x:c r="H32" s="165"/>
      <x:c r="I32" s="165"/>
      <x:c r="J32" s="165"/>
      <x:c r="K32" s="165"/>
      <x:c r="L32" s="165"/>
      <x:c r="M32" s="165"/>
      <x:c r="N32" s="165"/>
      <x:c r="O32" s="165"/>
      <x:c r="P32" s="165"/>
      <x:c r="Q32" s="165"/>
      <x:c r="R32" s="165"/>
      <x:c r="S32" s="165"/>
      <x:c r="T32" s="165"/>
      <x:c r="U32" s="165"/>
      <x:c r="V32" s="165"/>
      <x:c r="W32" s="165" t="n">
        <x:f>E32*2</x:f>
        <x:v>0</x:v>
      </x:c>
      <x:c r="X32" s="165" t="n">
        <x:f>E32*2</x:f>
        <x:v>0</x:v>
      </x:c>
      <x:c r="Y32" s="165" t="n">
        <x:f>E32*F32</x:f>
        <x:v>0</x:v>
      </x:c>
      <x:c r="Z32" s="165" t="n">
        <x:f>E32*G32</x:f>
        <x:v>0</x:v>
      </x:c>
      <x:c r="AA32" s="166" t="n">
        <x:f>IF(J32="無",0,E32*H32)</x:f>
        <x:v>0</x:v>
      </x:c>
      <x:c r="AB32" t="n">
        <x:f>IF(OR(ISNUMBER(SEARCH("上櫃",A32)),ISNUMBER(SEARCH("吊櫃",A32))),E32*MAX(F32,1),E32*F32)</x:f>
        <x:v>0</x:v>
      </x:c>
    </x:row>
    <x:row r="33">
      <x:c r="A33" s="164"/>
      <x:c r="B33" s="165"/>
      <x:c r="C33" s="165"/>
      <x:c r="D33" s="165"/>
      <x:c r="E33" s="165"/>
      <x:c r="F33" s="165"/>
      <x:c r="G33" s="165"/>
      <x:c r="H33" s="165"/>
      <x:c r="I33" s="165"/>
      <x:c r="J33" s="165"/>
      <x:c r="K33" s="165"/>
      <x:c r="L33" s="165"/>
      <x:c r="M33" s="165"/>
      <x:c r="N33" s="165"/>
      <x:c r="O33" s="165"/>
      <x:c r="P33" s="165"/>
      <x:c r="Q33" s="165"/>
      <x:c r="R33" s="165"/>
      <x:c r="S33" s="165"/>
      <x:c r="T33" s="165"/>
      <x:c r="U33" s="165"/>
      <x:c r="V33" s="165"/>
      <x:c r="W33" s="165" t="n">
        <x:f>E33*2</x:f>
        <x:v>0</x:v>
      </x:c>
      <x:c r="X33" s="165" t="n">
        <x:f>E33*2</x:f>
        <x:v>0</x:v>
      </x:c>
      <x:c r="Y33" s="165" t="n">
        <x:f>E33*F33</x:f>
        <x:v>0</x:v>
      </x:c>
      <x:c r="Z33" s="165" t="n">
        <x:f>E33*G33</x:f>
        <x:v>0</x:v>
      </x:c>
      <x:c r="AA33" s="166" t="n">
        <x:f>IF(J33="無",0,E33*H33)</x:f>
        <x:v>0</x:v>
      </x:c>
      <x:c r="AB33" t="n">
        <x:f>IF(OR(ISNUMBER(SEARCH("上櫃",A33)),ISNUMBER(SEARCH("吊櫃",A33))),E33*MAX(F33,1),E33*F33)</x:f>
        <x:v>0</x:v>
      </x:c>
    </x:row>
    <x:row r="34">
      <x:c r="A34" s="164"/>
      <x:c r="B34" s="165"/>
      <x:c r="C34" s="165"/>
      <x:c r="D34" s="165"/>
      <x:c r="E34" s="165"/>
      <x:c r="F34" s="165"/>
      <x:c r="G34" s="165"/>
      <x:c r="H34" s="165"/>
      <x:c r="I34" s="165"/>
      <x:c r="J34" s="165"/>
      <x:c r="K34" s="165"/>
      <x:c r="L34" s="165"/>
      <x:c r="M34" s="165"/>
      <x:c r="N34" s="165"/>
      <x:c r="O34" s="165"/>
      <x:c r="P34" s="165"/>
      <x:c r="Q34" s="165"/>
      <x:c r="R34" s="165"/>
      <x:c r="S34" s="165"/>
      <x:c r="T34" s="165"/>
      <x:c r="U34" s="165"/>
      <x:c r="V34" s="165"/>
      <x:c r="W34" s="165" t="n">
        <x:f>E34*2</x:f>
        <x:v>0</x:v>
      </x:c>
      <x:c r="X34" s="165" t="n">
        <x:f>E34*2</x:f>
        <x:v>0</x:v>
      </x:c>
      <x:c r="Y34" s="165" t="n">
        <x:f>E34*F34</x:f>
        <x:v>0</x:v>
      </x:c>
      <x:c r="Z34" s="165" t="n">
        <x:f>E34*G34</x:f>
        <x:v>0</x:v>
      </x:c>
      <x:c r="AA34" s="166" t="n">
        <x:f>IF(J34="無",0,E34*H34)</x:f>
        <x:v>0</x:v>
      </x:c>
      <x:c r="AB34" t="n">
        <x:f>IF(OR(ISNUMBER(SEARCH("上櫃",A34)),ISNUMBER(SEARCH("吊櫃",A34))),E34*MAX(F34,1),E34*F34)</x:f>
        <x:v>0</x:v>
      </x:c>
    </x:row>
    <x:row r="35">
      <x:c r="A35" s="164"/>
      <x:c r="B35" s="165"/>
      <x:c r="C35" s="165"/>
      <x:c r="D35" s="165"/>
      <x:c r="E35" s="165"/>
      <x:c r="F35" s="165"/>
      <x:c r="G35" s="165"/>
      <x:c r="H35" s="165"/>
      <x:c r="I35" s="165"/>
      <x:c r="J35" s="165"/>
      <x:c r="K35" s="165"/>
      <x:c r="L35" s="165"/>
      <x:c r="M35" s="165"/>
      <x:c r="N35" s="165"/>
      <x:c r="O35" s="165"/>
      <x:c r="P35" s="165"/>
      <x:c r="Q35" s="165"/>
      <x:c r="R35" s="165"/>
      <x:c r="S35" s="165"/>
      <x:c r="T35" s="165"/>
      <x:c r="U35" s="165"/>
      <x:c r="V35" s="165"/>
      <x:c r="W35" s="165" t="n">
        <x:f>E35*2</x:f>
        <x:v>0</x:v>
      </x:c>
      <x:c r="X35" s="165" t="n">
        <x:f>E35*2</x:f>
        <x:v>0</x:v>
      </x:c>
      <x:c r="Y35" s="165" t="n">
        <x:f>E35*F35</x:f>
        <x:v>0</x:v>
      </x:c>
      <x:c r="Z35" s="165" t="n">
        <x:f>E35*G35</x:f>
        <x:v>0</x:v>
      </x:c>
      <x:c r="AA35" s="166" t="n">
        <x:f>IF(J35="無",0,E35*H35)</x:f>
        <x:v>0</x:v>
      </x:c>
      <x:c r="AB35" t="n">
        <x:f>IF(OR(ISNUMBER(SEARCH("上櫃",A35)),ISNUMBER(SEARCH("吊櫃",A35))),E35*MAX(F35,1),E35*F35)</x:f>
        <x:v>0</x:v>
      </x:c>
    </x:row>
    <x:row r="36">
      <x:c r="A36" s="164"/>
      <x:c r="B36" s="165"/>
      <x:c r="C36" s="165"/>
      <x:c r="D36" s="165"/>
      <x:c r="E36" s="165"/>
      <x:c r="F36" s="165"/>
      <x:c r="G36" s="165"/>
      <x:c r="H36" s="165"/>
      <x:c r="I36" s="165"/>
      <x:c r="J36" s="165"/>
      <x:c r="K36" s="165"/>
      <x:c r="L36" s="165"/>
      <x:c r="M36" s="165"/>
      <x:c r="N36" s="165"/>
      <x:c r="O36" s="165"/>
      <x:c r="P36" s="165"/>
      <x:c r="Q36" s="165"/>
      <x:c r="R36" s="165"/>
      <x:c r="S36" s="165"/>
      <x:c r="T36" s="165"/>
      <x:c r="U36" s="165"/>
      <x:c r="V36" s="165"/>
      <x:c r="W36" s="165" t="n">
        <x:f>E36*2</x:f>
        <x:v>0</x:v>
      </x:c>
      <x:c r="X36" s="165" t="n">
        <x:f>E36*2</x:f>
        <x:v>0</x:v>
      </x:c>
      <x:c r="Y36" s="165" t="n">
        <x:f>E36*F36</x:f>
        <x:v>0</x:v>
      </x:c>
      <x:c r="Z36" s="165" t="n">
        <x:f>E36*G36</x:f>
        <x:v>0</x:v>
      </x:c>
      <x:c r="AA36" s="166" t="n">
        <x:f>IF(J36="無",0,E36*H36)</x:f>
        <x:v>0</x:v>
      </x:c>
      <x:c r="AB36" t="n">
        <x:f>IF(OR(ISNUMBER(SEARCH("上櫃",A36)),ISNUMBER(SEARCH("吊櫃",A36))),E36*MAX(F36,1),E36*F36)</x:f>
        <x:v>0</x:v>
      </x:c>
    </x:row>
    <x:row r="37">
      <x:c r="A37" s="164"/>
      <x:c r="B37" s="165"/>
      <x:c r="C37" s="165"/>
      <x:c r="D37" s="165"/>
      <x:c r="E37" s="165"/>
      <x:c r="F37" s="165"/>
      <x:c r="G37" s="165"/>
      <x:c r="H37" s="165"/>
      <x:c r="I37" s="165"/>
      <x:c r="J37" s="165"/>
      <x:c r="K37" s="165"/>
      <x:c r="L37" s="165"/>
      <x:c r="M37" s="165"/>
      <x:c r="N37" s="165"/>
      <x:c r="O37" s="165"/>
      <x:c r="P37" s="165"/>
      <x:c r="Q37" s="165"/>
      <x:c r="R37" s="165"/>
      <x:c r="S37" s="165"/>
      <x:c r="T37" s="165"/>
      <x:c r="U37" s="165"/>
      <x:c r="V37" s="165"/>
      <x:c r="W37" s="165" t="n">
        <x:f>E37*2</x:f>
        <x:v>0</x:v>
      </x:c>
      <x:c r="X37" s="165" t="n">
        <x:f>E37*2</x:f>
        <x:v>0</x:v>
      </x:c>
      <x:c r="Y37" s="165" t="n">
        <x:f>E37*F37</x:f>
        <x:v>0</x:v>
      </x:c>
      <x:c r="Z37" s="165" t="n">
        <x:f>E37*G37</x:f>
        <x:v>0</x:v>
      </x:c>
      <x:c r="AA37" s="166" t="n">
        <x:f>IF(J37="無",0,E37*H37)</x:f>
        <x:v>0</x:v>
      </x:c>
      <x:c r="AB37" t="n">
        <x:f>IF(OR(ISNUMBER(SEARCH("上櫃",A37)),ISNUMBER(SEARCH("吊櫃",A37))),E37*MAX(F37,1),E37*F37)</x:f>
        <x:v>0</x:v>
      </x:c>
    </x:row>
    <x:row r="38">
      <x:c r="A38" s="164"/>
      <x:c r="B38" s="165"/>
      <x:c r="C38" s="165"/>
      <x:c r="D38" s="165"/>
      <x:c r="E38" s="165"/>
      <x:c r="F38" s="165"/>
      <x:c r="G38" s="165"/>
      <x:c r="H38" s="165"/>
      <x:c r="I38" s="165"/>
      <x:c r="J38" s="165"/>
      <x:c r="K38" s="165"/>
      <x:c r="L38" s="165"/>
      <x:c r="M38" s="165"/>
      <x:c r="N38" s="165"/>
      <x:c r="O38" s="165"/>
      <x:c r="P38" s="165"/>
      <x:c r="Q38" s="165"/>
      <x:c r="R38" s="165"/>
      <x:c r="S38" s="165"/>
      <x:c r="T38" s="165"/>
      <x:c r="U38" s="165"/>
      <x:c r="V38" s="165"/>
      <x:c r="W38" s="165" t="n">
        <x:f>E38*2</x:f>
        <x:v>0</x:v>
      </x:c>
      <x:c r="X38" s="165" t="n">
        <x:f>E38*2</x:f>
        <x:v>0</x:v>
      </x:c>
      <x:c r="Y38" s="165" t="n">
        <x:f>E38*F38</x:f>
        <x:v>0</x:v>
      </x:c>
      <x:c r="Z38" s="165" t="n">
        <x:f>E38*G38</x:f>
        <x:v>0</x:v>
      </x:c>
      <x:c r="AA38" s="166" t="n">
        <x:f>IF(J38="無",0,E38*H38)</x:f>
        <x:v>0</x:v>
      </x:c>
      <x:c r="AB38" t="n">
        <x:f>IF(OR(ISNUMBER(SEARCH("上櫃",A38)),ISNUMBER(SEARCH("吊櫃",A38))),E38*MAX(F38,1),E38*F38)</x:f>
        <x:v>0</x:v>
      </x:c>
    </x:row>
    <x:row r="39">
      <x:c r="A39" s="164"/>
      <x:c r="B39" s="165"/>
      <x:c r="C39" s="165"/>
      <x:c r="D39" s="165"/>
      <x:c r="E39" s="165"/>
      <x:c r="F39" s="165"/>
      <x:c r="G39" s="165"/>
      <x:c r="H39" s="165"/>
      <x:c r="I39" s="165"/>
      <x:c r="J39" s="165"/>
      <x:c r="K39" s="165"/>
      <x:c r="L39" s="165"/>
      <x:c r="M39" s="165"/>
      <x:c r="N39" s="165"/>
      <x:c r="O39" s="165"/>
      <x:c r="P39" s="165"/>
      <x:c r="Q39" s="165"/>
      <x:c r="R39" s="165"/>
      <x:c r="S39" s="165"/>
      <x:c r="T39" s="165"/>
      <x:c r="U39" s="165"/>
      <x:c r="V39" s="165"/>
      <x:c r="W39" s="165" t="n">
        <x:f>E39*2</x:f>
        <x:v>0</x:v>
      </x:c>
      <x:c r="X39" s="165" t="n">
        <x:f>E39*2</x:f>
        <x:v>0</x:v>
      </x:c>
      <x:c r="Y39" s="165" t="n">
        <x:f>E39*F39</x:f>
        <x:v>0</x:v>
      </x:c>
      <x:c r="Z39" s="165" t="n">
        <x:f>E39*G39</x:f>
        <x:v>0</x:v>
      </x:c>
      <x:c r="AA39" s="166" t="n">
        <x:f>IF(J39="無",0,E39*H39)</x:f>
        <x:v>0</x:v>
      </x:c>
      <x:c r="AB39" t="n">
        <x:f>IF(OR(ISNUMBER(SEARCH("上櫃",A39)),ISNUMBER(SEARCH("吊櫃",A39))),E39*MAX(F39,1),E39*F39)</x:f>
        <x:v>0</x:v>
      </x:c>
    </x:row>
    <x:row r="40">
      <x:c r="A40" s="164"/>
      <x:c r="B40" s="165"/>
      <x:c r="C40" s="165"/>
      <x:c r="D40" s="165"/>
      <x:c r="E40" s="165"/>
      <x:c r="F40" s="165"/>
      <x:c r="G40" s="165"/>
      <x:c r="H40" s="165"/>
      <x:c r="I40" s="165"/>
      <x:c r="J40" s="165"/>
      <x:c r="K40" s="165"/>
      <x:c r="L40" s="165"/>
      <x:c r="M40" s="165"/>
      <x:c r="N40" s="165"/>
      <x:c r="O40" s="165"/>
      <x:c r="P40" s="165"/>
      <x:c r="Q40" s="165"/>
      <x:c r="R40" s="165"/>
      <x:c r="S40" s="165"/>
      <x:c r="T40" s="165"/>
      <x:c r="U40" s="165"/>
      <x:c r="V40" s="165"/>
      <x:c r="W40" s="165" t="n">
        <x:f>E40*2</x:f>
        <x:v>0</x:v>
      </x:c>
      <x:c r="X40" s="165" t="n">
        <x:f>E40*2</x:f>
        <x:v>0</x:v>
      </x:c>
      <x:c r="Y40" s="165" t="n">
        <x:f>E40*F40</x:f>
        <x:v>0</x:v>
      </x:c>
      <x:c r="Z40" s="165" t="n">
        <x:f>E40*G40</x:f>
        <x:v>0</x:v>
      </x:c>
      <x:c r="AA40" s="166" t="n">
        <x:f>IF(J40="無",0,E40*H40)</x:f>
        <x:v>0</x:v>
      </x:c>
      <x:c r="AB40" t="n">
        <x:f>IF(OR(ISNUMBER(SEARCH("上櫃",A40)),ISNUMBER(SEARCH("吊櫃",A40))),E40*MAX(F40,1),E40*F40)</x:f>
        <x:v>0</x:v>
      </x:c>
    </x:row>
    <x:row r="41">
      <x:c r="A41" s="164"/>
      <x:c r="B41" s="165"/>
      <x:c r="C41" s="165"/>
      <x:c r="D41" s="165"/>
      <x:c r="E41" s="165"/>
      <x:c r="F41" s="165"/>
      <x:c r="G41" s="165"/>
      <x:c r="H41" s="165"/>
      <x:c r="I41" s="165"/>
      <x:c r="J41" s="165"/>
      <x:c r="K41" s="165"/>
      <x:c r="L41" s="165"/>
      <x:c r="M41" s="165"/>
      <x:c r="N41" s="165"/>
      <x:c r="O41" s="165"/>
      <x:c r="P41" s="165"/>
      <x:c r="Q41" s="165"/>
      <x:c r="R41" s="165"/>
      <x:c r="S41" s="165"/>
      <x:c r="T41" s="165"/>
      <x:c r="U41" s="165"/>
      <x:c r="V41" s="165"/>
      <x:c r="W41" s="165" t="n">
        <x:f>E41*2</x:f>
        <x:v>0</x:v>
      </x:c>
      <x:c r="X41" s="165" t="n">
        <x:f>E41*2</x:f>
        <x:v>0</x:v>
      </x:c>
      <x:c r="Y41" s="165" t="n">
        <x:f>E41*F41</x:f>
        <x:v>0</x:v>
      </x:c>
      <x:c r="Z41" s="165" t="n">
        <x:f>E41*G41</x:f>
        <x:v>0</x:v>
      </x:c>
      <x:c r="AA41" s="166" t="n">
        <x:f>IF(J41="無",0,E41*H41)</x:f>
        <x:v>0</x:v>
      </x:c>
      <x:c r="AB41" t="n">
        <x:f>IF(OR(ISNUMBER(SEARCH("上櫃",A41)),ISNUMBER(SEARCH("吊櫃",A41))),E41*MAX(F41,1),E41*F41)</x:f>
        <x:v>0</x:v>
      </x:c>
    </x:row>
    <x:row r="42">
      <x:c r="A42" s="164"/>
      <x:c r="B42" s="165"/>
      <x:c r="C42" s="165"/>
      <x:c r="D42" s="165"/>
      <x:c r="E42" s="165"/>
      <x:c r="F42" s="165"/>
      <x:c r="G42" s="165"/>
      <x:c r="H42" s="165"/>
      <x:c r="I42" s="165"/>
      <x:c r="J42" s="165"/>
      <x:c r="K42" s="165"/>
      <x:c r="L42" s="165"/>
      <x:c r="M42" s="165"/>
      <x:c r="N42" s="165"/>
      <x:c r="O42" s="165"/>
      <x:c r="P42" s="165"/>
      <x:c r="Q42" s="165"/>
      <x:c r="R42" s="165"/>
      <x:c r="S42" s="165"/>
      <x:c r="T42" s="165"/>
      <x:c r="U42" s="165"/>
      <x:c r="V42" s="165"/>
      <x:c r="W42" s="165" t="n">
        <x:f>E42*2</x:f>
        <x:v>0</x:v>
      </x:c>
      <x:c r="X42" s="165" t="n">
        <x:f>E42*2</x:f>
        <x:v>0</x:v>
      </x:c>
      <x:c r="Y42" s="165" t="n">
        <x:f>E42*F42</x:f>
        <x:v>0</x:v>
      </x:c>
      <x:c r="Z42" s="165" t="n">
        <x:f>E42*G42</x:f>
        <x:v>0</x:v>
      </x:c>
      <x:c r="AA42" s="166" t="n">
        <x:f>IF(J42="無",0,E42*H42)</x:f>
        <x:v>0</x:v>
      </x:c>
      <x:c r="AB42" t="n">
        <x:f>IF(OR(ISNUMBER(SEARCH("上櫃",A42)),ISNUMBER(SEARCH("吊櫃",A42))),E42*MAX(F42,1),E42*F42)</x:f>
        <x:v>0</x:v>
      </x:c>
    </x:row>
    <x:row r="43">
      <x:c r="A43" s="164"/>
      <x:c r="B43" s="165"/>
      <x:c r="C43" s="165"/>
      <x:c r="D43" s="165"/>
      <x:c r="E43" s="165"/>
      <x:c r="F43" s="165"/>
      <x:c r="G43" s="165"/>
      <x:c r="H43" s="165"/>
      <x:c r="I43" s="165"/>
      <x:c r="J43" s="165"/>
      <x:c r="K43" s="165"/>
      <x:c r="L43" s="165"/>
      <x:c r="M43" s="165"/>
      <x:c r="N43" s="165"/>
      <x:c r="O43" s="165"/>
      <x:c r="P43" s="165"/>
      <x:c r="Q43" s="165"/>
      <x:c r="R43" s="165"/>
      <x:c r="S43" s="165"/>
      <x:c r="T43" s="165"/>
      <x:c r="U43" s="165"/>
      <x:c r="V43" s="165"/>
      <x:c r="W43" s="165" t="n">
        <x:f>E43*2</x:f>
        <x:v>0</x:v>
      </x:c>
      <x:c r="X43" s="165" t="n">
        <x:f>E43*2</x:f>
        <x:v>0</x:v>
      </x:c>
      <x:c r="Y43" s="165" t="n">
        <x:f>E43*F43</x:f>
        <x:v>0</x:v>
      </x:c>
      <x:c r="Z43" s="165" t="n">
        <x:f>E43*G43</x:f>
        <x:v>0</x:v>
      </x:c>
      <x:c r="AA43" s="166" t="n">
        <x:f>IF(J43="無",0,E43*H43)</x:f>
        <x:v>0</x:v>
      </x:c>
      <x:c r="AB43" t="n">
        <x:f>IF(OR(ISNUMBER(SEARCH("上櫃",A43)),ISNUMBER(SEARCH("吊櫃",A43))),E43*MAX(F43,1),E43*F43)</x:f>
        <x:v>0</x:v>
      </x:c>
    </x:row>
    <x:row r="44">
      <x:c r="A44" s="164"/>
      <x:c r="B44" s="165"/>
      <x:c r="C44" s="165"/>
      <x:c r="D44" s="165"/>
      <x:c r="E44" s="165"/>
      <x:c r="F44" s="165"/>
      <x:c r="G44" s="165"/>
      <x:c r="H44" s="165"/>
      <x:c r="I44" s="165"/>
      <x:c r="J44" s="165"/>
      <x:c r="K44" s="165"/>
      <x:c r="L44" s="165"/>
      <x:c r="M44" s="165"/>
      <x:c r="N44" s="165"/>
      <x:c r="O44" s="165"/>
      <x:c r="P44" s="165"/>
      <x:c r="Q44" s="165"/>
      <x:c r="R44" s="165"/>
      <x:c r="S44" s="165"/>
      <x:c r="T44" s="165"/>
      <x:c r="U44" s="165"/>
      <x:c r="V44" s="165"/>
      <x:c r="W44" s="165" t="n">
        <x:f>E44*2</x:f>
        <x:v>0</x:v>
      </x:c>
      <x:c r="X44" s="165" t="n">
        <x:f>E44*2</x:f>
        <x:v>0</x:v>
      </x:c>
      <x:c r="Y44" s="165" t="n">
        <x:f>E44*F44</x:f>
        <x:v>0</x:v>
      </x:c>
      <x:c r="Z44" s="165" t="n">
        <x:f>E44*G44</x:f>
        <x:v>0</x:v>
      </x:c>
      <x:c r="AA44" s="166" t="n">
        <x:f>IF(J44="無",0,E44*H44)</x:f>
        <x:v>0</x:v>
      </x:c>
      <x:c r="AB44" t="n">
        <x:f>IF(OR(ISNUMBER(SEARCH("上櫃",A44)),ISNUMBER(SEARCH("吊櫃",A44))),E44*MAX(F44,1),E44*F44)</x:f>
        <x:v>0</x:v>
      </x:c>
    </x:row>
    <x:row r="45">
      <x:c r="A45" s="164"/>
      <x:c r="B45" s="165"/>
      <x:c r="C45" s="165"/>
      <x:c r="D45" s="165"/>
      <x:c r="E45" s="165"/>
      <x:c r="F45" s="165"/>
      <x:c r="G45" s="165"/>
      <x:c r="H45" s="165"/>
      <x:c r="I45" s="165"/>
      <x:c r="J45" s="165"/>
      <x:c r="K45" s="165"/>
      <x:c r="L45" s="165"/>
      <x:c r="M45" s="165"/>
      <x:c r="N45" s="165"/>
      <x:c r="O45" s="165"/>
      <x:c r="P45" s="165"/>
      <x:c r="Q45" s="165"/>
      <x:c r="R45" s="165"/>
      <x:c r="S45" s="165"/>
      <x:c r="T45" s="165"/>
      <x:c r="U45" s="165"/>
      <x:c r="V45" s="165"/>
      <x:c r="W45" s="165" t="n">
        <x:f>E45*2</x:f>
        <x:v>0</x:v>
      </x:c>
      <x:c r="X45" s="165" t="n">
        <x:f>E45*2</x:f>
        <x:v>0</x:v>
      </x:c>
      <x:c r="Y45" s="165" t="n">
        <x:f>E45*F45</x:f>
        <x:v>0</x:v>
      </x:c>
      <x:c r="Z45" s="165" t="n">
        <x:f>E45*G45</x:f>
        <x:v>0</x:v>
      </x:c>
      <x:c r="AA45" s="166" t="n">
        <x:f>IF(J45="無",0,E45*H45)</x:f>
        <x:v>0</x:v>
      </x:c>
      <x:c r="AB45" t="n">
        <x:f>IF(OR(ISNUMBER(SEARCH("上櫃",A45)),ISNUMBER(SEARCH("吊櫃",A45))),E45*MAX(F45,1),E45*F45)</x:f>
        <x:v>0</x:v>
      </x:c>
    </x:row>
    <x:row r="46">
      <x:c r="A46" s="164"/>
      <x:c r="B46" s="165"/>
      <x:c r="C46" s="165"/>
      <x:c r="D46" s="165"/>
      <x:c r="E46" s="165"/>
      <x:c r="F46" s="165"/>
      <x:c r="G46" s="165"/>
      <x:c r="H46" s="165"/>
      <x:c r="I46" s="165"/>
      <x:c r="J46" s="165"/>
      <x:c r="K46" s="165"/>
      <x:c r="L46" s="165"/>
      <x:c r="M46" s="165"/>
      <x:c r="N46" s="165"/>
      <x:c r="O46" s="165"/>
      <x:c r="P46" s="165"/>
      <x:c r="Q46" s="165"/>
      <x:c r="R46" s="165"/>
      <x:c r="S46" s="165"/>
      <x:c r="T46" s="165"/>
      <x:c r="U46" s="165"/>
      <x:c r="V46" s="165"/>
      <x:c r="W46" s="165" t="n">
        <x:f>E46*2</x:f>
        <x:v>0</x:v>
      </x:c>
      <x:c r="X46" s="165" t="n">
        <x:f>E46*2</x:f>
        <x:v>0</x:v>
      </x:c>
      <x:c r="Y46" s="165" t="n">
        <x:f>E46*F46</x:f>
        <x:v>0</x:v>
      </x:c>
      <x:c r="Z46" s="165" t="n">
        <x:f>E46*G46</x:f>
        <x:v>0</x:v>
      </x:c>
      <x:c r="AA46" s="166" t="n">
        <x:f>IF(J46="無",0,E46*H46)</x:f>
        <x:v>0</x:v>
      </x:c>
      <x:c r="AB46" t="n">
        <x:f>IF(OR(ISNUMBER(SEARCH("上櫃",A46)),ISNUMBER(SEARCH("吊櫃",A46))),E46*MAX(F46,1),E46*F46)</x:f>
        <x:v>0</x:v>
      </x:c>
    </x:row>
    <x:row r="47">
      <x:c r="A47" s="164"/>
      <x:c r="B47" s="165"/>
      <x:c r="C47" s="165"/>
      <x:c r="D47" s="165"/>
      <x:c r="E47" s="165"/>
      <x:c r="F47" s="165"/>
      <x:c r="G47" s="165"/>
      <x:c r="H47" s="165"/>
      <x:c r="I47" s="165"/>
      <x:c r="J47" s="165"/>
      <x:c r="K47" s="165"/>
      <x:c r="L47" s="165"/>
      <x:c r="M47" s="165"/>
      <x:c r="N47" s="165"/>
      <x:c r="O47" s="165"/>
      <x:c r="P47" s="165"/>
      <x:c r="Q47" s="165"/>
      <x:c r="R47" s="165"/>
      <x:c r="S47" s="165"/>
      <x:c r="T47" s="165"/>
      <x:c r="U47" s="165"/>
      <x:c r="V47" s="165"/>
      <x:c r="W47" s="165" t="n">
        <x:f>E47*2</x:f>
        <x:v>0</x:v>
      </x:c>
      <x:c r="X47" s="165" t="n">
        <x:f>E47*2</x:f>
        <x:v>0</x:v>
      </x:c>
      <x:c r="Y47" s="165" t="n">
        <x:f>E47*F47</x:f>
        <x:v>0</x:v>
      </x:c>
      <x:c r="Z47" s="165" t="n">
        <x:f>E47*G47</x:f>
        <x:v>0</x:v>
      </x:c>
      <x:c r="AA47" s="166" t="n">
        <x:f>IF(J47="無",0,E47*H47)</x:f>
        <x:v>0</x:v>
      </x:c>
      <x:c r="AB47" t="n">
        <x:f>IF(OR(ISNUMBER(SEARCH("上櫃",A47)),ISNUMBER(SEARCH("吊櫃",A47))),E47*MAX(F47,1),E47*F47)</x:f>
        <x:v>0</x:v>
      </x:c>
    </x:row>
    <x:row r="48">
      <x:c r="A48" s="164"/>
      <x:c r="B48" s="165"/>
      <x:c r="C48" s="165"/>
      <x:c r="D48" s="165"/>
      <x:c r="E48" s="165"/>
      <x:c r="F48" s="165"/>
      <x:c r="G48" s="165"/>
      <x:c r="H48" s="165"/>
      <x:c r="I48" s="165"/>
      <x:c r="J48" s="165"/>
      <x:c r="K48" s="165"/>
      <x:c r="L48" s="165"/>
      <x:c r="M48" s="165"/>
      <x:c r="N48" s="165"/>
      <x:c r="O48" s="165"/>
      <x:c r="P48" s="165"/>
      <x:c r="Q48" s="165"/>
      <x:c r="R48" s="165"/>
      <x:c r="S48" s="165"/>
      <x:c r="T48" s="165"/>
      <x:c r="U48" s="165"/>
      <x:c r="V48" s="165"/>
      <x:c r="W48" s="165" t="n">
        <x:f>E48*2</x:f>
        <x:v>0</x:v>
      </x:c>
      <x:c r="X48" s="165" t="n">
        <x:f>E48*2</x:f>
        <x:v>0</x:v>
      </x:c>
      <x:c r="Y48" s="165" t="n">
        <x:f>E48*F48</x:f>
        <x:v>0</x:v>
      </x:c>
      <x:c r="Z48" s="165" t="n">
        <x:f>E48*G48</x:f>
        <x:v>0</x:v>
      </x:c>
      <x:c r="AA48" s="166" t="n">
        <x:f>IF(J48="無",0,E48*H48)</x:f>
        <x:v>0</x:v>
      </x:c>
      <x:c r="AB48" t="n">
        <x:f>IF(OR(ISNUMBER(SEARCH("上櫃",A48)),ISNUMBER(SEARCH("吊櫃",A48))),E48*MAX(F48,1),E48*F48)</x:f>
        <x:v>0</x:v>
      </x:c>
    </x:row>
    <x:row r="49">
      <x:c r="A49" s="164"/>
      <x:c r="B49" s="165"/>
      <x:c r="C49" s="165"/>
      <x:c r="D49" s="165"/>
      <x:c r="E49" s="165"/>
      <x:c r="F49" s="165"/>
      <x:c r="G49" s="165"/>
      <x:c r="H49" s="165"/>
      <x:c r="I49" s="165"/>
      <x:c r="J49" s="165"/>
      <x:c r="K49" s="165"/>
      <x:c r="L49" s="165"/>
      <x:c r="M49" s="165"/>
      <x:c r="N49" s="165"/>
      <x:c r="O49" s="165"/>
      <x:c r="P49" s="165"/>
      <x:c r="Q49" s="165"/>
      <x:c r="R49" s="165"/>
      <x:c r="S49" s="165"/>
      <x:c r="T49" s="165"/>
      <x:c r="U49" s="165"/>
      <x:c r="V49" s="165"/>
      <x:c r="W49" s="165" t="n">
        <x:f>E49*2</x:f>
        <x:v>0</x:v>
      </x:c>
      <x:c r="X49" s="165" t="n">
        <x:f>E49*2</x:f>
        <x:v>0</x:v>
      </x:c>
      <x:c r="Y49" s="165" t="n">
        <x:f>E49*F49</x:f>
        <x:v>0</x:v>
      </x:c>
      <x:c r="Z49" s="165" t="n">
        <x:f>E49*G49</x:f>
        <x:v>0</x:v>
      </x:c>
      <x:c r="AA49" s="166" t="n">
        <x:f>IF(J49="無",0,E49*H49)</x:f>
        <x:v>0</x:v>
      </x:c>
      <x:c r="AB49" t="n">
        <x:f>IF(OR(ISNUMBER(SEARCH("上櫃",A49)),ISNUMBER(SEARCH("吊櫃",A49))),E49*MAX(F49,1),E49*F49)</x:f>
        <x:v>0</x:v>
      </x:c>
    </x:row>
    <x:row r="50">
      <x:c r="A50" s="164"/>
      <x:c r="B50" s="165"/>
      <x:c r="C50" s="165"/>
      <x:c r="D50" s="165"/>
      <x:c r="E50" s="165"/>
      <x:c r="F50" s="165"/>
      <x:c r="G50" s="165"/>
      <x:c r="H50" s="165"/>
      <x:c r="I50" s="165"/>
      <x:c r="J50" s="165"/>
      <x:c r="K50" s="165"/>
      <x:c r="L50" s="165"/>
      <x:c r="M50" s="165"/>
      <x:c r="N50" s="165"/>
      <x:c r="O50" s="165"/>
      <x:c r="P50" s="165"/>
      <x:c r="Q50" s="165"/>
      <x:c r="R50" s="165"/>
      <x:c r="S50" s="165"/>
      <x:c r="T50" s="165"/>
      <x:c r="U50" s="165"/>
      <x:c r="V50" s="165"/>
      <x:c r="W50" s="165" t="n">
        <x:f>E50*2</x:f>
        <x:v>0</x:v>
      </x:c>
      <x:c r="X50" s="165" t="n">
        <x:f>E50*2</x:f>
        <x:v>0</x:v>
      </x:c>
      <x:c r="Y50" s="165" t="n">
        <x:f>E50*F50</x:f>
        <x:v>0</x:v>
      </x:c>
      <x:c r="Z50" s="165" t="n">
        <x:f>E50*G50</x:f>
        <x:v>0</x:v>
      </x:c>
      <x:c r="AA50" s="166" t="n">
        <x:f>IF(J50="無",0,E50*H50)</x:f>
        <x:v>0</x:v>
      </x:c>
      <x:c r="AB50" t="n">
        <x:f>IF(OR(ISNUMBER(SEARCH("上櫃",A50)),ISNUMBER(SEARCH("吊櫃",A50))),E50*MAX(F50,1),E50*F50)</x:f>
        <x:v>0</x:v>
      </x:c>
    </x:row>
    <x:row r="51">
      <x:c r="A51" s="164"/>
      <x:c r="B51" s="165"/>
      <x:c r="C51" s="165"/>
      <x:c r="D51" s="165"/>
      <x:c r="E51" s="165"/>
      <x:c r="F51" s="165"/>
      <x:c r="G51" s="165"/>
      <x:c r="H51" s="165"/>
      <x:c r="I51" s="165"/>
      <x:c r="J51" s="165"/>
      <x:c r="K51" s="165"/>
      <x:c r="L51" s="165"/>
      <x:c r="M51" s="165"/>
      <x:c r="N51" s="165"/>
      <x:c r="O51" s="165"/>
      <x:c r="P51" s="165"/>
      <x:c r="Q51" s="165"/>
      <x:c r="R51" s="165"/>
      <x:c r="S51" s="165"/>
      <x:c r="T51" s="165"/>
      <x:c r="U51" s="165"/>
      <x:c r="V51" s="165"/>
      <x:c r="W51" s="165" t="n">
        <x:f>E51*2</x:f>
        <x:v>0</x:v>
      </x:c>
      <x:c r="X51" s="165" t="n">
        <x:f>E51*2</x:f>
        <x:v>0</x:v>
      </x:c>
      <x:c r="Y51" s="165" t="n">
        <x:f>E51*F51</x:f>
        <x:v>0</x:v>
      </x:c>
      <x:c r="Z51" s="165" t="n">
        <x:f>E51*G51</x:f>
        <x:v>0</x:v>
      </x:c>
      <x:c r="AA51" s="166" t="n">
        <x:f>IF(J51="無",0,E51*H51)</x:f>
        <x:v>0</x:v>
      </x:c>
      <x:c r="AB51" t="n">
        <x:f>IF(OR(ISNUMBER(SEARCH("上櫃",A51)),ISNUMBER(SEARCH("吊櫃",A51))),E51*MAX(F51,1),E51*F51)</x:f>
        <x:v>0</x:v>
      </x:c>
    </x:row>
    <x:row r="52">
      <x:c r="A52" s="164"/>
      <x:c r="B52" s="165"/>
      <x:c r="C52" s="165"/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65"/>
      <x:c r="U52" s="165"/>
      <x:c r="V52" s="165"/>
      <x:c r="W52" s="165" t="n">
        <x:f>E52*2</x:f>
        <x:v>0</x:v>
      </x:c>
      <x:c r="X52" s="165" t="n">
        <x:f>E52*2</x:f>
        <x:v>0</x:v>
      </x:c>
      <x:c r="Y52" s="165" t="n">
        <x:f>E52*F52</x:f>
        <x:v>0</x:v>
      </x:c>
      <x:c r="Z52" s="165" t="n">
        <x:f>E52*G52</x:f>
        <x:v>0</x:v>
      </x:c>
      <x:c r="AA52" s="166" t="n">
        <x:f>IF(J52="無",0,E52*H52)</x:f>
        <x:v>0</x:v>
      </x:c>
      <x:c r="AB52" t="n">
        <x:f>IF(OR(ISNUMBER(SEARCH("上櫃",A52)),ISNUMBER(SEARCH("吊櫃",A52))),E52*MAX(F52,1),E52*F52)</x:f>
        <x:v>0</x:v>
      </x:c>
    </x:row>
    <x:row r="53">
      <x:c r="A53" s="167"/>
      <x:c r="B53" s="168"/>
      <x:c r="C53" s="168"/>
      <x:c r="D53" s="168"/>
      <x:c r="E53" s="168"/>
      <x:c r="F53" s="168"/>
      <x:c r="G53" s="168"/>
      <x:c r="H53" s="168"/>
      <x:c r="I53" s="168"/>
      <x:c r="J53" s="168"/>
      <x:c r="K53" s="168"/>
      <x:c r="L53" s="168"/>
      <x:c r="M53" s="168"/>
      <x:c r="N53" s="168"/>
      <x:c r="O53" s="168"/>
      <x:c r="P53" s="168"/>
      <x:c r="Q53" s="168"/>
      <x:c r="R53" s="168"/>
      <x:c r="S53" s="168"/>
      <x:c r="T53" s="168"/>
      <x:c r="U53" s="168"/>
      <x:c r="V53" s="168"/>
      <x:c r="W53" s="168" t="n">
        <x:f>E53*2</x:f>
        <x:v>0</x:v>
      </x:c>
      <x:c r="X53" s="168" t="n">
        <x:f>E53*2</x:f>
        <x:v>0</x:v>
      </x:c>
      <x:c r="Y53" s="168" t="n">
        <x:f>E53*F53</x:f>
        <x:v>0</x:v>
      </x:c>
      <x:c r="Z53" s="168" t="n">
        <x:f>E53*G53</x:f>
        <x:v>0</x:v>
      </x:c>
      <x:c r="AA53" s="169" t="n">
        <x:f>IF(J53="無",0,E53*H53)</x:f>
        <x:v>0</x:v>
      </x:c>
      <x:c r="AB53" t="n">
        <x:f>IF(OR(ISNUMBER(SEARCH("上櫃",A53)),ISNUMBER(SEARCH("吊櫃",A53))),E53*MAX(F53,1),E53*F53)</x:f>
        <x:v>0</x:v>
      </x:c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 t="str">
        <x:v>抽屜扣數說明</x:v>
      </x:c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 t="str">
        <x:v>99</x:v>
      </x:c>
      <x:c r="B56" s="253" t="str">
        <x:v>兩側完整側板/完整邊界</x:v>
      </x:c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 t="str">
        <x:v>90</x:v>
      </x:c>
      <x:c r="B57" s="253" t="str">
        <x:v>一側完整側板 + 一側中立板中心線（兩抽常見）</x:v>
      </x:c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 t="str">
        <x:v>81</x:v>
      </x:c>
      <x:c r="B58" s="253" t="str">
        <x:v>兩側都是中立板中心線</x:v>
      </x:c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AA1"/>
  </x:mergeCells>
  <x:dataValidations count="5">
    <x:dataValidation type="list" sqref="J4:J53">
      <x:formula1>"4E門板,鋁框門,無"</x:formula1>
    </x:dataValidation>
    <x:dataValidation type="list" sqref="L4:L53">
      <x:formula1>"外抽,內抽"</x:formula1>
    </x:dataValidation>
    <x:dataValidation type="list" sqref="P4:P53">
      <x:formula1>"是,否"</x:formula1>
    </x:dataValidation>
    <x:dataValidation type="list" sqref="R4:R53">
      <x:formula1>"是,否"</x:formula1>
    </x:dataValidation>
    <x:dataValidation type="list" sqref="S4:S53">
      <x:formula1>"是,否"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.889999389648438" hidden="0" customWidth="1"/>
    <x:col min="2" max="2" width="20.110000610351562" hidden="0" customWidth="1"/>
    <x:col min="3" max="3" width="23.440000534057617" hidden="0" customWidth="1"/>
    <x:col min="4" max="4" width="23.559999465942383" hidden="0" customWidth="1"/>
    <x:col min="5" max="5" width="21.780000686645508" hidden="0" customWidth="1"/>
    <x:col min="6" max="6" width="8.779999732971191" hidden="0" customWidth="1"/>
    <x:col min="7" max="7" width="23.559999465942383" hidden="0" customWidth="1"/>
  </x:cols>
  <x:sheetData>
    <x:row r="1">
      <x:c r="A1" s="207" t="str">
        <x:v>舊版自動拆料 → V2 修正差異比對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217" t="str">
        <x:v>分類</x:v>
      </x:c>
      <x:c r="B3" s="218" t="str">
        <x:v>舊版/常見錯誤</x:v>
      </x:c>
      <x:c r="C3" s="218" t="str">
        <x:v>V2修正</x:v>
      </x:c>
      <x:c r="D3" s="218" t="str">
        <x:v>原因</x:v>
      </x:c>
      <x:c r="E3" s="218" t="str">
        <x:v>影響</x:v>
      </x:c>
      <x:c r="F3" s="218" t="str">
        <x:v>狀態</x:v>
      </x:c>
      <x:c r="G3" s="219" t="str">
        <x:v>備註</x:v>
      </x:c>
      <x:c r="H3" s="253"/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220" t="str">
        <x:v>活格</x:v>
      </x:c>
      <x:c r="B4" s="221" t="str">
        <x:v>D-44</x:v>
      </x:c>
      <x:c r="C4" s="221" t="str">
        <x:v>D-40</x:v>
      </x:c>
      <x:c r="D4" s="221" t="str">
        <x:v>使用者確認活格固定退40</x:v>
      </x:c>
      <x:c r="E4" s="221" t="str">
        <x:v>D394 活格由350改354</x:v>
      </x:c>
      <x:c r="F4" s="221" t="str">
        <x:v>已改</x:v>
      </x:c>
      <x:c r="G4" s="222" t="str">
        <x:v>若舊檔對答案需人工標註差異</x:v>
      </x:c>
      <x:c r="H4" s="253"/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220" t="str">
        <x:v>門板高度</x:v>
      </x:c>
      <x:c r="B5" s="221" t="str">
        <x:v>門區高-3</x:v>
      </x:c>
      <x:c r="C5" s="221" t="str">
        <x:v>門區高-4</x:v>
      </x:c>
      <x:c r="D5" s="221" t="str">
        <x:v>正確檔案門高差1mm</x:v>
      </x:c>
      <x:c r="E5" s="221" t="str">
        <x:v>2176高門=2172</x:v>
      </x:c>
      <x:c r="F5" s="221" t="str">
        <x:v>已改</x:v>
      </x:c>
      <x:c r="G5" s="222" t="str">
        <x:v>公式表需同步</x:v>
      </x:c>
      <x:c r="H5" s="253"/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220" t="str">
        <x:v>桶身木榫</x:v>
      </x:c>
      <x:c r="B6" s="221" t="str">
        <x:v>部分表未列</x:v>
      </x:c>
      <x:c r="C6" s="221" t="str">
        <x:v>桶身木榫=KD</x:v>
      </x:c>
      <x:c r="D6" s="221" t="str">
        <x:v>使用者補充</x:v>
      </x:c>
      <x:c r="E6" s="221" t="str">
        <x:v>五金數量增加</x:v>
      </x:c>
      <x:c r="F6" s="221" t="str">
        <x:v>已改</x:v>
      </x:c>
      <x:c r="G6" s="222" t="str">
        <x:v>抽屜木榫另列</x:v>
      </x:c>
      <x:c r="H6" s="253"/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220" t="str">
        <x:v>背條</x:v>
      </x:c>
      <x:c r="B7" s="221" t="str">
        <x:v>100或1支/桶</x:v>
      </x:c>
      <x:c r="C7" s="221" t="str">
        <x:v>110×內寬，2支/桶</x:v>
      </x:c>
      <x:c r="D7" s="221" t="str">
        <x:v>近期正確檔案顯示</x:v>
      </x:c>
      <x:c r="E7" s="221" t="str">
        <x:v>背條尺寸與數量修正</x:v>
      </x:c>
      <x:c r="F7" s="221" t="str">
        <x:v>待確認</x:v>
      </x:c>
      <x:c r="G7" s="222" t="str">
        <x:v>此項仍可再與工廠校正</x:v>
      </x:c>
      <x:c r="H7" s="253"/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220" t="str">
        <x:v>電視櫃</x:v>
      </x:c>
      <x:c r="B8" s="221" t="str">
        <x:v>65×5拆獨立桶身</x:v>
      </x:c>
      <x:c r="C8" s="221" t="str">
        <x:v>主體櫃+中立板/擋板/縮深板</x:v>
      </x:c>
      <x:c r="D8" s="221" t="str">
        <x:v>電視櫃結構不是單獨小桶</x:v>
      </x:c>
      <x:c r="E8" s="221" t="str">
        <x:v>頂底板、背板、腳數差很多</x:v>
      </x:c>
      <x:c r="F8" s="221" t="str">
        <x:v>已記錄</x:v>
      </x:c>
      <x:c r="G8" s="222" t="str">
        <x:v>V2保留人工結構判斷</x:v>
      </x:c>
      <x:c r="H8" s="253"/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220" t="str">
        <x:v>門片數</x:v>
      </x:c>
      <x:c r="B9" s="221" t="str">
        <x:v>憑寬度猜</x:v>
      </x:c>
      <x:c r="C9" s="221" t="str">
        <x:v>看 &lt; / &gt; 符號</x:v>
      </x:c>
      <x:c r="D9" s="221" t="str">
        <x:v>一符號一門片</x:v>
      </x:c>
      <x:c r="E9" s="221" t="str">
        <x:v>門片數更穩</x:v>
      </x:c>
      <x:c r="F9" s="221" t="str">
        <x:v>已改</x:v>
      </x:c>
      <x:c r="G9" s="222" t="str">
        <x:v>特殊大小門另標</x:v>
      </x:c>
      <x:c r="H9" s="253"/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220" t="str">
        <x:v>抽屜深度</x:v>
      </x:c>
      <x:c r="B10" s="221" t="str">
        <x:v>固定35/40/45</x:v>
      </x:c>
      <x:c r="C10" s="221" t="str">
        <x:v>D-29上限內選300~500</x:v>
      </x:c>
      <x:c r="D10" s="221" t="str">
        <x:v>邊抽牆深度只需不超過可用深</x:v>
      </x:c>
      <x:c r="E10" s="221" t="str">
        <x:v>滑軌跟著邊抽深度</x:v>
      </x:c>
      <x:c r="F10" s="221" t="str">
        <x:v>已改</x:v>
      </x:c>
      <x:c r="G10" s="222" t="str">
        <x:v>可手動覆蓋</x:v>
      </x:c>
      <x:c r="H10" s="253"/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220" t="str">
        <x:v>內抽</x:v>
      </x:c>
      <x:c r="B11" s="221" t="str">
        <x:v>-50原因不明</x:v>
      </x:c>
      <x:c r="C11" s="221" t="str">
        <x:v>-50=抽補板25×2</x:v>
      </x:c>
      <x:c r="D11" s="221" t="str">
        <x:v>內抽需四片抽補板鎖滑軌</x:v>
      </x:c>
      <x:c r="E11" s="221" t="str">
        <x:v>前後抽牆、補板正確</x:v>
      </x:c>
      <x:c r="F11" s="221" t="str">
        <x:v>已改</x:v>
      </x:c>
      <x:c r="G11" s="222" t="str">
        <x:v>抽補板高度=F-27</x:v>
      </x:c>
      <x:c r="H11" s="253"/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220" t="str">
        <x:v>背條數量</x:v>
      </x:c>
      <x:c r="B12" s="221" t="str">
        <x:v>固定2支/桶或不明</x:v>
      </x:c>
      <x:c r="C12" s="221" t="str">
        <x:v>跟固格數量；吊櫃至少1支/桶</x:v>
      </x:c>
      <x:c r="D12" s="221" t="str">
        <x:v>已修正</x:v>
      </x:c>
      <x:c r="E12" s="221" t="str">
        <x:v>避免多算/漏算背條</x:v>
      </x:c>
      <x:c r="F12" s="221" t="str">
        <x:v>2026-07-03</x:v>
      </x:c>
      <x:c r="G12" s="222" t="str">
        <x:v>依使用者確認</x:v>
      </x:c>
      <x:c r="H12" s="253"/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220" t="str">
        <x:v>鋁框門</x:v>
      </x:c>
      <x:c r="B13" s="221" t="str">
        <x:v>可能列出鋁框門/鉸鏈</x:v>
      </x:c>
      <x:c r="C13" s="221" t="str">
        <x:v>鋁框門本身不拆；只拆桶身</x:v>
      </x:c>
      <x:c r="D13" s="221" t="str">
        <x:v>已修正</x:v>
      </x:c>
      <x:c r="E13" s="221" t="str">
        <x:v>目前負責拆料不拆鋁框門</x:v>
      </x:c>
      <x:c r="F13" s="221" t="str">
        <x:v>2026-07-03</x:v>
      </x:c>
      <x:c r="G13" s="222" t="str">
        <x:v>依使用者確認</x:v>
      </x:c>
      <x:c r="H13" s="253"/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220" t="str">
        <x:v>門型選項</x:v>
      </x:c>
      <x:c r="B14" s="221" t="str">
        <x:v>4E/鋁框/無</x:v>
      </x:c>
      <x:c r="C14" s="221" t="str">
        <x:v>4E/無；鋁框門直接用無</x:v>
      </x:c>
      <x:c r="D14" s="221" t="str">
        <x:v>已修正</x:v>
      </x:c>
      <x:c r="E14" s="221" t="str">
        <x:v>避免混入4E門片與五金</x:v>
      </x:c>
      <x:c r="F14" s="221" t="str">
        <x:v>2026-07-03</x:v>
      </x:c>
      <x:c r="G14" s="222" t="str">
        <x:v>依使用者確認</x:v>
      </x:c>
      <x:c r="H14" s="253"/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220" t="str">
        <x:v>吊櫃背條</x:v>
      </x:c>
      <x:c r="B15" s="221" t="str">
        <x:v>可能跟固格=0導致漏背條</x:v>
      </x:c>
      <x:c r="C15" s="221" t="str">
        <x:v>吊櫃保底1支/桶</x:v>
      </x:c>
      <x:c r="D15" s="221" t="str">
        <x:v>已修正</x:v>
      </x:c>
      <x:c r="E15" s="221" t="str">
        <x:v>吊櫃一定要有背條</x:v>
      </x:c>
      <x:c r="F15" s="221" t="str">
        <x:v>2026-07-03</x:v>
      </x:c>
      <x:c r="G15" s="222" t="str">
        <x:v>依使用者確認</x:v>
      </x:c>
      <x:c r="H15" s="253"/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220" t="str">
        <x:v>抽屜前後抽牆</x:v>
      </x:c>
      <x:c r="B16" s="221" t="str">
        <x:v>固定-99</x:v>
      </x:c>
      <x:c r="C16" s="221" t="str">
        <x:v>依中立標示可為-99/-90/-81</x:v>
      </x:c>
      <x:c r="D16" s="221" t="str">
        <x:v>中立標示為中心線，只扣9mm半片</x:v>
      </x:c>
      <x:c r="E16" s="221" t="str">
        <x:v>高</x:v>
      </x:c>
      <x:c r="F16" s="221" t="str">
        <x:v>已更新B23與說明</x:v>
      </x:c>
      <x:c r="G16" s="222" t="str"/>
      <x:c r="H16" s="253"/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220" t="str">
        <x:v>兩抽並排</x:v>
      </x:c>
      <x:c r="B17" s="221" t="str">
        <x:v>可能仍-99</x:v>
      </x:c>
      <x:c r="C17" s="221" t="str">
        <x:v>通常預設-90</x:v>
      </x:c>
      <x:c r="D17" s="221" t="str">
        <x:v>一側完整側板、一側中立中心線</x:v>
      </x:c>
      <x:c r="E17" s="221" t="str">
        <x:v>高</x:v>
      </x:c>
      <x:c r="F17" s="221" t="str">
        <x:v>V2單櫃IF(抽屜數=2,90,99)</x:v>
      </x:c>
      <x:c r="G17" s="222" t="str"/>
      <x:c r="H17" s="253"/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220" t="str">
        <x:v>兩側中心線</x:v>
      </x:c>
      <x:c r="B18" s="221" t="str">
        <x:v>未處理</x:v>
      </x:c>
      <x:c r="C18" s="221" t="str">
        <x:v>扣數-81</x:v>
      </x:c>
      <x:c r="D18" s="221" t="str">
        <x:v>兩側各扣9mm</x:v>
      </x:c>
      <x:c r="E18" s="221" t="str">
        <x:v>中</x:v>
      </x:c>
      <x:c r="F18" s="221" t="str">
        <x:v>需依圖手動改B23為81</x:v>
      </x:c>
      <x:c r="G18" s="222" t="str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220" t="str">
        <x:v>抽底板</x:v>
      </x:c>
      <x:c r="B19" s="221" t="str">
        <x:v>跟著錯誤前後抽牆</x:v>
      </x:c>
      <x:c r="C19" s="221" t="str">
        <x:v>前後抽牆+10</x:v>
      </x:c>
      <x:c r="D19" s="221" t="str">
        <x:v>前後抽牆修正後抽底板同步修正</x:v>
      </x:c>
      <x:c r="E19" s="221" t="str">
        <x:v>高</x:v>
      </x:c>
      <x:c r="F19" s="221" t="str">
        <x:v>已更新說明</x:v>
      </x:c>
      <x:c r="G19" s="222" t="str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220"/>
      <x:c r="B20" s="221"/>
      <x:c r="C20" s="221"/>
      <x:c r="D20" s="221"/>
      <x:c r="E20" s="221"/>
      <x:c r="F20" s="221"/>
      <x:c r="G20" s="222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220"/>
      <x:c r="B21" s="221"/>
      <x:c r="C21" s="221"/>
      <x:c r="D21" s="221"/>
      <x:c r="E21" s="221"/>
      <x:c r="F21" s="221"/>
      <x:c r="G21" s="222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220"/>
      <x:c r="B22" s="221"/>
      <x:c r="C22" s="221"/>
      <x:c r="D22" s="221"/>
      <x:c r="E22" s="221"/>
      <x:c r="F22" s="221"/>
      <x:c r="G22" s="222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220"/>
      <x:c r="B23" s="221"/>
      <x:c r="C23" s="221"/>
      <x:c r="D23" s="221"/>
      <x:c r="E23" s="221"/>
      <x:c r="F23" s="221"/>
      <x:c r="G23" s="222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220"/>
      <x:c r="B24" s="221"/>
      <x:c r="C24" s="221"/>
      <x:c r="D24" s="221"/>
      <x:c r="E24" s="221"/>
      <x:c r="F24" s="221"/>
      <x:c r="G24" s="222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220"/>
      <x:c r="B25" s="221"/>
      <x:c r="C25" s="221"/>
      <x:c r="D25" s="221"/>
      <x:c r="E25" s="221"/>
      <x:c r="F25" s="221"/>
      <x:c r="G25" s="222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220"/>
      <x:c r="B26" s="221"/>
      <x:c r="C26" s="221"/>
      <x:c r="D26" s="221"/>
      <x:c r="E26" s="221"/>
      <x:c r="F26" s="221"/>
      <x:c r="G26" s="222"/>
      <x:c r="H26" s="253"/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220"/>
      <x:c r="B27" s="221"/>
      <x:c r="C27" s="221"/>
      <x:c r="D27" s="221"/>
      <x:c r="E27" s="221"/>
      <x:c r="F27" s="221"/>
      <x:c r="G27" s="222"/>
      <x:c r="H27" s="253"/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220"/>
      <x:c r="B28" s="221"/>
      <x:c r="C28" s="221"/>
      <x:c r="D28" s="221"/>
      <x:c r="E28" s="221"/>
      <x:c r="F28" s="221"/>
      <x:c r="G28" s="222"/>
      <x:c r="H28" s="253"/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220"/>
      <x:c r="B29" s="221"/>
      <x:c r="C29" s="221"/>
      <x:c r="D29" s="221"/>
      <x:c r="E29" s="221"/>
      <x:c r="F29" s="221"/>
      <x:c r="G29" s="222"/>
      <x:c r="H29" s="253"/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223"/>
      <x:c r="B30" s="224"/>
      <x:c r="C30" s="224"/>
      <x:c r="D30" s="224"/>
      <x:c r="E30" s="224"/>
      <x:c r="F30" s="224"/>
      <x:c r="G30" s="225"/>
      <x:c r="H30" s="253"/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253"/>
      <x:c r="B31" s="253"/>
      <x:c r="C31" s="253"/>
      <x:c r="D31" s="253"/>
      <x:c r="E31" s="253"/>
      <x:c r="F31" s="253"/>
      <x:c r="G31" s="253"/>
      <x:c r="H31" s="253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253"/>
      <x:c r="B32" s="253"/>
      <x:c r="C32" s="253"/>
      <x:c r="D32" s="253"/>
      <x:c r="E32" s="253"/>
      <x:c r="F32" s="253"/>
      <x:c r="G32" s="253"/>
      <x:c r="H32" s="253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253"/>
      <x:c r="B33" s="253"/>
      <x:c r="C33" s="253"/>
      <x:c r="D33" s="253"/>
      <x:c r="E33" s="253"/>
      <x:c r="F33" s="253"/>
      <x:c r="G33" s="253"/>
      <x:c r="H33" s="25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253"/>
      <x:c r="B34" s="253"/>
      <x:c r="C34" s="253"/>
      <x:c r="D34" s="253"/>
      <x:c r="E34" s="253"/>
      <x:c r="F34" s="253"/>
      <x:c r="G34" s="253"/>
      <x:c r="H34" s="253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253"/>
      <x:c r="B35" s="253"/>
      <x:c r="C35" s="253"/>
      <x:c r="D35" s="253"/>
      <x:c r="E35" s="253"/>
      <x:c r="F35" s="253"/>
      <x:c r="G35" s="253"/>
      <x:c r="H35" s="253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253"/>
      <x:c r="B36" s="253"/>
      <x:c r="C36" s="253"/>
      <x:c r="D36" s="253"/>
      <x:c r="E36" s="253"/>
      <x:c r="F36" s="253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253"/>
      <x:c r="B37" s="253"/>
      <x:c r="C37" s="253"/>
      <x:c r="D37" s="253"/>
      <x:c r="E37" s="253"/>
      <x:c r="F37" s="253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253"/>
      <x:c r="B38" s="253"/>
      <x:c r="C38" s="253"/>
      <x:c r="D38" s="253"/>
      <x:c r="E38" s="253"/>
      <x:c r="F38" s="253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253"/>
      <x:c r="B39" s="253"/>
      <x:c r="C39" s="253"/>
      <x:c r="D39" s="253"/>
      <x:c r="E39" s="253"/>
      <x:c r="F39" s="253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253"/>
      <x:c r="B40" s="253"/>
      <x:c r="C40" s="253"/>
      <x:c r="D40" s="253"/>
      <x:c r="E40" s="253"/>
      <x:c r="F40" s="253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253"/>
      <x:c r="B41" s="253"/>
      <x:c r="C41" s="253"/>
      <x:c r="D41" s="253"/>
      <x:c r="E41" s="253"/>
      <x:c r="F41" s="253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253"/>
      <x:c r="B42" s="253"/>
      <x:c r="C42" s="253"/>
      <x:c r="D42" s="253"/>
      <x:c r="E42" s="253"/>
      <x:c r="F42" s="253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253"/>
      <x:c r="B43" s="253"/>
      <x:c r="C43" s="253"/>
      <x:c r="D43" s="253"/>
      <x:c r="E43" s="253"/>
      <x:c r="F43" s="253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253"/>
      <x:c r="B44" s="253"/>
      <x:c r="C44" s="253"/>
      <x:c r="D44" s="253"/>
      <x:c r="E44" s="253"/>
      <x:c r="F44" s="253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253"/>
      <x:c r="B45" s="253"/>
      <x:c r="C45" s="253"/>
      <x:c r="D45" s="253"/>
      <x:c r="E45" s="253"/>
      <x:c r="F45" s="253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253"/>
      <x:c r="B46" s="253"/>
      <x:c r="C46" s="253"/>
      <x:c r="D46" s="253"/>
      <x:c r="E46" s="253"/>
      <x:c r="F46" s="253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253"/>
      <x:c r="B47" s="253"/>
      <x:c r="C47" s="253"/>
      <x:c r="D47" s="253"/>
      <x:c r="E47" s="253"/>
      <x:c r="F47" s="253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253"/>
      <x:c r="B48" s="253"/>
      <x:c r="C48" s="253"/>
      <x:c r="D48" s="253"/>
      <x:c r="E48" s="253"/>
      <x:c r="F48" s="253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253"/>
      <x:c r="B49" s="253"/>
      <x:c r="C49" s="253"/>
      <x:c r="D49" s="253"/>
      <x:c r="E49" s="253"/>
      <x:c r="F49" s="253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253"/>
      <x:c r="B50" s="253"/>
      <x:c r="C50" s="253"/>
      <x:c r="D50" s="253"/>
      <x:c r="E50" s="253"/>
      <x:c r="F50" s="253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253"/>
      <x:c r="B51" s="253"/>
      <x:c r="C51" s="253"/>
      <x:c r="D51" s="253"/>
      <x:c r="E51" s="253"/>
      <x:c r="F51" s="253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253"/>
      <x:c r="B52" s="253"/>
      <x:c r="C52" s="253"/>
      <x:c r="D52" s="253"/>
      <x:c r="E52" s="253"/>
      <x:c r="F52" s="253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32" hidden="0" customWidth="1"/>
  </x:cols>
  <x:sheetData>
    <x:row r="1">
      <x:c r="A1" s="237" t="str">
        <x:v>已知範例：餐櫃 V2（依討論修正）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247" t="str">
        <x:v>項目</x:v>
      </x:c>
      <x:c r="B3" s="248" t="str">
        <x:v>規格1</x:v>
      </x:c>
      <x:c r="C3" s="248" t="str">
        <x:v>規格2</x:v>
      </x:c>
      <x:c r="D3" s="248" t="str">
        <x:v>厚度</x:v>
      </x:c>
      <x:c r="E3" s="248" t="str">
        <x:v>數量</x:v>
      </x:c>
      <x:c r="F3" s="249" t="str">
        <x:v>備註</x:v>
      </x:c>
      <x:c r="G3" s="253"/>
      <x:c r="H3" s="253"/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164" t="str">
        <x:v>側板</x:v>
      </x:c>
      <x:c r="B4" s="165" t="n">
        <x:v>300</x:v>
      </x:c>
      <x:c r="C4" s="165" t="n">
        <x:v>800</x:v>
      </x:c>
      <x:c r="D4" s="165" t="n">
        <x:v>18</x:v>
      </x:c>
      <x:c r="E4" s="165" t="n">
        <x:v>4</x:v>
      </x:c>
      <x:c r="F4" s="166" t="str">
        <x:v>上櫃90×2</x:v>
      </x:c>
      <x:c r="G4" s="253"/>
      <x:c r="H4" s="253"/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164" t="str">
        <x:v>頂底板</x:v>
      </x:c>
      <x:c r="B5" s="165" t="n">
        <x:v>300</x:v>
      </x:c>
      <x:c r="C5" s="165" t="n">
        <x:v>864</x:v>
      </x:c>
      <x:c r="D5" s="165" t="n">
        <x:v>18</x:v>
      </x:c>
      <x:c r="E5" s="165" t="n">
        <x:v>4</x:v>
      </x:c>
      <x:c r="F5" s="166" t="str">
        <x:v>上櫃</x:v>
      </x:c>
      <x:c r="G5" s="253"/>
      <x:c r="H5" s="253"/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164" t="str">
        <x:v>背板</x:v>
      </x:c>
      <x:c r="B6" s="165" t="n">
        <x:v>874</x:v>
      </x:c>
      <x:c r="C6" s="165" t="n">
        <x:v>774</x:v>
      </x:c>
      <x:c r="D6" s="165" t="n">
        <x:v>8</x:v>
      </x:c>
      <x:c r="E6" s="165" t="n">
        <x:v>2</x:v>
      </x:c>
      <x:c r="F6" s="166" t="str">
        <x:v>上櫃</x:v>
      </x:c>
      <x:c r="G6" s="253"/>
      <x:c r="H6" s="253"/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164" t="str">
        <x:v>背條</x:v>
      </x:c>
      <x:c r="B7" s="165" t="n">
        <x:v>110</x:v>
      </x:c>
      <x:c r="C7" s="165" t="n">
        <x:v>864</x:v>
      </x:c>
      <x:c r="D7" s="165" t="n">
        <x:v>18</x:v>
      </x:c>
      <x:c r="E7" s="165" t="n">
        <x:v>4</x:v>
      </x:c>
      <x:c r="F7" s="166" t="str">
        <x:v>上櫃，2支/桶</x:v>
      </x:c>
      <x:c r="G7" s="253"/>
      <x:c r="H7" s="253"/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164" t="str">
        <x:v>活格</x:v>
      </x:c>
      <x:c r="B8" s="165" t="n">
        <x:v>260</x:v>
      </x:c>
      <x:c r="C8" s="165" t="n">
        <x:v>863</x:v>
      </x:c>
      <x:c r="D8" s="165" t="n">
        <x:v>18</x:v>
      </x:c>
      <x:c r="E8" s="165" t="n">
        <x:v>2</x:v>
      </x:c>
      <x:c r="F8" s="166" t="str">
        <x:v>D300-40</x:v>
      </x:c>
      <x:c r="G8" s="253"/>
      <x:c r="H8" s="253"/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164" t="str">
        <x:v>側板</x:v>
      </x:c>
      <x:c r="B9" s="165" t="n">
        <x:v>426</x:v>
      </x:c>
      <x:c r="C9" s="165" t="n">
        <x:v>928</x:v>
      </x:c>
      <x:c r="D9" s="165" t="n">
        <x:v>18</x:v>
      </x:c>
      <x:c r="E9" s="165" t="n">
        <x:v>4</x:v>
      </x:c>
      <x:c r="F9" s="166" t="str">
        <x:v>下櫃90×2</x:v>
      </x:c>
      <x:c r="G9" s="253"/>
      <x:c r="H9" s="253"/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164" t="str">
        <x:v>頂底板</x:v>
      </x:c>
      <x:c r="B10" s="165" t="n">
        <x:v>426</x:v>
      </x:c>
      <x:c r="C10" s="165" t="n">
        <x:v>864</x:v>
      </x:c>
      <x:c r="D10" s="165" t="n">
        <x:v>18</x:v>
      </x:c>
      <x:c r="E10" s="165" t="n">
        <x:v>4</x:v>
      </x:c>
      <x:c r="F10" s="166" t="str">
        <x:v>下櫃</x:v>
      </x:c>
      <x:c r="G10" s="253"/>
      <x:c r="H10" s="253"/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164" t="str">
        <x:v>背板</x:v>
      </x:c>
      <x:c r="B11" s="165" t="n">
        <x:v>874</x:v>
      </x:c>
      <x:c r="C11" s="165" t="n">
        <x:v>902</x:v>
      </x:c>
      <x:c r="D11" s="165" t="n">
        <x:v>8</x:v>
      </x:c>
      <x:c r="E11" s="165" t="n">
        <x:v>2</x:v>
      </x:c>
      <x:c r="F11" s="166" t="str">
        <x:v>下櫃</x:v>
      </x:c>
      <x:c r="G11" s="253"/>
      <x:c r="H11" s="253"/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164" t="str">
        <x:v>背條</x:v>
      </x:c>
      <x:c r="B12" s="165" t="n">
        <x:v>110</x:v>
      </x:c>
      <x:c r="C12" s="165" t="n">
        <x:v>864</x:v>
      </x:c>
      <x:c r="D12" s="165" t="n">
        <x:v>18</x:v>
      </x:c>
      <x:c r="E12" s="165" t="n">
        <x:v>4</x:v>
      </x:c>
      <x:c r="F12" s="166" t="str">
        <x:v>下櫃，2支/桶</x:v>
      </x:c>
      <x:c r="G12" s="253"/>
      <x:c r="H12" s="253"/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164" t="str">
        <x:v>固格板</x:v>
      </x:c>
      <x:c r="B13" s="165" t="n">
        <x:v>378</x:v>
      </x:c>
      <x:c r="C13" s="165" t="n">
        <x:v>864</x:v>
      </x:c>
      <x:c r="D13" s="165" t="n">
        <x:v>18</x:v>
      </x:c>
      <x:c r="E13" s="165" t="n">
        <x:v>2</x:v>
      </x:c>
      <x:c r="F13" s="166" t="str">
        <x:v>397前縮19</x:v>
      </x:c>
      <x:c r="G13" s="253"/>
      <x:c r="H13" s="253"/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164" t="str">
        <x:v>活格</x:v>
      </x:c>
      <x:c r="B14" s="165" t="n">
        <x:v>386</x:v>
      </x:c>
      <x:c r="C14" s="165" t="n">
        <x:v>863</x:v>
      </x:c>
      <x:c r="D14" s="165" t="n">
        <x:v>18</x:v>
      </x:c>
      <x:c r="E14" s="165" t="n">
        <x:v>2</x:v>
      </x:c>
      <x:c r="F14" s="166" t="str">
        <x:v>D426-40</x:v>
      </x:c>
      <x:c r="G14" s="253"/>
      <x:c r="H14" s="253"/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164" t="str">
        <x:v>中立板</x:v>
      </x:c>
      <x:c r="B15" s="165" t="n">
        <x:v>397</x:v>
      </x:c>
      <x:c r="C15" s="165" t="n">
        <x:v>165</x:v>
      </x:c>
      <x:c r="D15" s="165" t="n">
        <x:v>18</x:v>
      </x:c>
      <x:c r="E15" s="165" t="n">
        <x:v>2</x:v>
      </x:c>
      <x:c r="F15" s="166" t="str">
        <x:v>短中立板</x:v>
      </x:c>
      <x:c r="G15" s="253"/>
      <x:c r="H15" s="253"/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164" t="str">
        <x:v>擋板</x:v>
      </x:c>
      <x:c r="B16" s="165" t="n">
        <x:v>60</x:v>
      </x:c>
      <x:c r="C16" s="165" t="n">
        <x:v>864</x:v>
      </x:c>
      <x:c r="D16" s="165" t="n">
        <x:v>18</x:v>
      </x:c>
      <x:c r="E16" s="165" t="n">
        <x:v>2</x:v>
      </x:c>
      <x:c r="F16" s="166" t="str">
        <x:v>斜把</x:v>
      </x:c>
      <x:c r="G16" s="253"/>
      <x:c r="H16" s="253"/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164" t="str">
        <x:v>封板</x:v>
      </x:c>
      <x:c r="B17" s="165" t="n">
        <x:v>567</x:v>
      </x:c>
      <x:c r="C17" s="165" t="n">
        <x:v>1840</x:v>
      </x:c>
      <x:c r="D17" s="165" t="n">
        <x:v>18</x:v>
      </x:c>
      <x:c r="E17" s="165" t="n">
        <x:v>1</x:v>
      </x:c>
      <x:c r="F17" s="166" t="str">
        <x:v>中間封板</x:v>
      </x:c>
      <x:c r="G17" s="253"/>
      <x:c r="H17" s="253"/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164" t="str">
        <x:v>燈板</x:v>
      </x:c>
      <x:c r="B18" s="165" t="n">
        <x:v>270</x:v>
      </x:c>
      <x:c r="C18" s="165" t="n">
        <x:v>863</x:v>
      </x:c>
      <x:c r="D18" s="165" t="n">
        <x:v>18</x:v>
      </x:c>
      <x:c r="E18" s="165" t="n">
        <x:v>1</x:v>
      </x:c>
      <x:c r="F18" s="166" t="str"/>
      <x:c r="G18" s="253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164" t="str">
        <x:v>燈板</x:v>
      </x:c>
      <x:c r="B19" s="165" t="n">
        <x:v>40</x:v>
      </x:c>
      <x:c r="C19" s="165" t="n">
        <x:v>863</x:v>
      </x:c>
      <x:c r="D19" s="165" t="n">
        <x:v>18</x:v>
      </x:c>
      <x:c r="E19" s="165" t="n">
        <x:v>1</x:v>
      </x:c>
      <x:c r="F19" s="166" t="str"/>
      <x:c r="G19" s="253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164" t="str">
        <x:v>側封板</x:v>
      </x:c>
      <x:c r="B20" s="165" t="n">
        <x:v>320</x:v>
      </x:c>
      <x:c r="C20" s="165" t="n">
        <x:v>800</x:v>
      </x:c>
      <x:c r="D20" s="165" t="n">
        <x:v>18</x:v>
      </x:c>
      <x:c r="E20" s="165" t="n">
        <x:v>2</x:v>
      </x:c>
      <x:c r="F20" s="166" t="str">
        <x:v>上櫃</x:v>
      </x:c>
      <x:c r="G20" s="253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164" t="str">
        <x:v>側封板</x:v>
      </x:c>
      <x:c r="B21" s="165" t="n">
        <x:v>446</x:v>
      </x:c>
      <x:c r="C21" s="165" t="n">
        <x:v>1030</x:v>
      </x:c>
      <x:c r="D21" s="165" t="n">
        <x:v>18</x:v>
      </x:c>
      <x:c r="E21" s="165" t="n">
        <x:v>2</x:v>
      </x:c>
      <x:c r="F21" s="166" t="str">
        <x:v>下櫃</x:v>
      </x:c>
      <x:c r="G21" s="253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164" t="str">
        <x:v>檯面</x:v>
      </x:c>
      <x:c r="B22" s="165" t="n">
        <x:v>450</x:v>
      </x:c>
      <x:c r="C22" s="165" t="n">
        <x:v>1840</x:v>
      </x:c>
      <x:c r="D22" s="165" t="n">
        <x:v>25</x:v>
      </x:c>
      <x:c r="E22" s="165" t="n">
        <x:v>1</x:v>
      </x:c>
      <x:c r="F22" s="166" t="str">
        <x:v>含側封</x:v>
      </x:c>
      <x:c r="G22" s="253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164" t="str">
        <x:v>4E門板</x:v>
      </x:c>
      <x:c r="B23" s="165" t="n">
        <x:v>447</x:v>
      </x:c>
      <x:c r="C23" s="165" t="n">
        <x:v>796</x:v>
      </x:c>
      <x:c r="D23" s="165" t="n">
        <x:v>18</x:v>
      </x:c>
      <x:c r="E23" s="165" t="n">
        <x:v>4</x:v>
      </x:c>
      <x:c r="F23" s="166" t="str">
        <x:v>門高-4</x:v>
      </x:c>
      <x:c r="G23" s="253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164" t="str">
        <x:v>4E門板</x:v>
      </x:c>
      <x:c r="B24" s="165" t="n">
        <x:v>447</x:v>
      </x:c>
      <x:c r="C24" s="165" t="n">
        <x:v>704</x:v>
      </x:c>
      <x:c r="D24" s="165" t="n">
        <x:v>18</x:v>
      </x:c>
      <x:c r="E24" s="165" t="n">
        <x:v>4</x:v>
      </x:c>
      <x:c r="F24" s="166" t="str">
        <x:v>門高-4</x:v>
      </x:c>
      <x:c r="G24" s="253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164" t="str">
        <x:v>屜頭</x:v>
      </x:c>
      <x:c r="B25" s="165" t="n">
        <x:v>447</x:v>
      </x:c>
      <x:c r="C25" s="165" t="n">
        <x:v>200</x:v>
      </x:c>
      <x:c r="D25" s="165" t="n">
        <x:v>18</x:v>
      </x:c>
      <x:c r="E25" s="165" t="n">
        <x:v>4</x:v>
      </x:c>
      <x:c r="F25" s="166" t="str">
        <x:v>兩抽並排：450-90=360，中立板中心線扣法</x:v>
      </x:c>
      <x:c r="G25" s="253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164" t="str">
        <x:v>前抽牆</x:v>
      </x:c>
      <x:c r="B26" s="165" t="n">
        <x:v>100</x:v>
      </x:c>
      <x:c r="C26" s="165" t="n">
        <x:v>360</x:v>
      </x:c>
      <x:c r="D26" s="165" t="n">
        <x:v>18</x:v>
      </x:c>
      <x:c r="E26" s="165" t="n">
        <x:v>8</x:v>
      </x:c>
      <x:c r="F26" s="166" t="str">
        <x:v>依正確檔；待確認扣數</x:v>
      </x:c>
      <x:c r="G26" s="253"/>
      <x:c r="H26" s="253"/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164" t="str">
        <x:v>邊抽牆</x:v>
      </x:c>
      <x:c r="B27" s="165" t="n">
        <x:v>100</x:v>
      </x:c>
      <x:c r="C27" s="165" t="n">
        <x:v>350</x:v>
      </x:c>
      <x:c r="D27" s="165" t="n">
        <x:v>18</x:v>
      </x:c>
      <x:c r="E27" s="165" t="n">
        <x:v>8</x:v>
      </x:c>
      <x:c r="F27" s="166" t="str">
        <x:v>抽底板：前後抽牆360+10=370，邊抽350-26=324</x:v>
      </x:c>
      <x:c r="G27" s="253"/>
      <x:c r="H27" s="253"/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164" t="str">
        <x:v>抽底板</x:v>
      </x:c>
      <x:c r="B28" s="165" t="n">
        <x:v>370</x:v>
      </x:c>
      <x:c r="C28" s="165" t="n">
        <x:v>324</x:v>
      </x:c>
      <x:c r="D28" s="165" t="n">
        <x:v>8</x:v>
      </x:c>
      <x:c r="E28" s="165" t="n">
        <x:v>4</x:v>
      </x:c>
      <x:c r="F28" s="166" t="str">
        <x:v>依正確檔</x:v>
      </x:c>
      <x:c r="G28" s="253"/>
      <x:c r="H28" s="253"/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164" t="str">
        <x:v>A10</x:v>
      </x:c>
      <x:c r="B29" s="165"/>
      <x:c r="C29" s="165"/>
      <x:c r="D29" s="165"/>
      <x:c r="E29" s="165" t="n">
        <x:v>8</x:v>
      </x:c>
      <x:c r="F29" s="166" t="str"/>
      <x:c r="G29" s="253"/>
      <x:c r="H29" s="253"/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164" t="str">
        <x:v>KD</x:v>
      </x:c>
      <x:c r="B30" s="165"/>
      <x:c r="C30" s="165"/>
      <x:c r="D30" s="165"/>
      <x:c r="E30" s="165" t="n">
        <x:v>32</x:v>
      </x:c>
      <x:c r="F30" s="166" t="str"/>
      <x:c r="G30" s="253"/>
      <x:c r="H30" s="253"/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164" t="str">
        <x:v>桶身木榫</x:v>
      </x:c>
      <x:c r="B31" s="165"/>
      <x:c r="C31" s="165"/>
      <x:c r="D31" s="165"/>
      <x:c r="E31" s="165" t="n">
        <x:v>32</x:v>
      </x:c>
      <x:c r="F31" s="166" t="str">
        <x:v>同 KD 數量</x:v>
      </x:c>
      <x:c r="G31" s="253"/>
      <x:c r="H31" s="253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164" t="str">
        <x:v>抽屜木榫</x:v>
      </x:c>
      <x:c r="B32" s="165"/>
      <x:c r="C32" s="165"/>
      <x:c r="D32" s="165"/>
      <x:c r="E32" s="165" t="n">
        <x:v>32</x:v>
      </x:c>
      <x:c r="F32" s="166" t="str">
        <x:v>每抽8顆</x:v>
      </x:c>
      <x:c r="G32" s="253"/>
      <x:c r="H32" s="253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164" t="str">
        <x:v>固格器</x:v>
      </x:c>
      <x:c r="B33" s="165"/>
      <x:c r="C33" s="165"/>
      <x:c r="D33" s="165"/>
      <x:c r="E33" s="165" t="n">
        <x:v>16</x:v>
      </x:c>
      <x:c r="F33" s="166" t="str"/>
      <x:c r="G33" s="253"/>
      <x:c r="H33" s="25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164" t="str">
        <x:v>活格粒</x:v>
      </x:c>
      <x:c r="B34" s="165"/>
      <x:c r="C34" s="165"/>
      <x:c r="D34" s="165"/>
      <x:c r="E34" s="165" t="n">
        <x:v>16</x:v>
      </x:c>
      <x:c r="F34" s="166" t="str"/>
      <x:c r="G34" s="253"/>
      <x:c r="H34" s="253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164" t="str">
        <x:v>鉸鏈</x:v>
      </x:c>
      <x:c r="B35" s="165"/>
      <x:c r="C35" s="165"/>
      <x:c r="D35" s="165"/>
      <x:c r="E35" s="165" t="n">
        <x:v>16</x:v>
      </x:c>
      <x:c r="F35" s="166" t="str"/>
      <x:c r="G35" s="253"/>
      <x:c r="H35" s="253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164" t="str">
        <x:v>油壓器</x:v>
      </x:c>
      <x:c r="B36" s="165"/>
      <x:c r="C36" s="165"/>
      <x:c r="D36" s="165"/>
      <x:c r="E36" s="165" t="n">
        <x:v>8</x:v>
      </x:c>
      <x:c r="F36" s="166" t="str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164" t="str">
        <x:v>35滑軌</x:v>
      </x:c>
      <x:c r="B37" s="165"/>
      <x:c r="C37" s="165"/>
      <x:c r="D37" s="165"/>
      <x:c r="E37" s="165" t="n">
        <x:v>4</x:v>
      </x:c>
      <x:c r="F37" s="166" t="str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164" t="str">
        <x:v>斜手把</x:v>
      </x:c>
      <x:c r="B38" s="165"/>
      <x:c r="C38" s="165"/>
      <x:c r="D38" s="165"/>
      <x:c r="E38" s="165" t="n">
        <x:v>12</x:v>
      </x:c>
      <x:c r="F38" s="166" t="str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164"/>
      <x:c r="B39" s="165"/>
      <x:c r="C39" s="165"/>
      <x:c r="D39" s="165"/>
      <x:c r="E39" s="165"/>
      <x:c r="F39" s="166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164"/>
      <x:c r="B40" s="165"/>
      <x:c r="C40" s="165"/>
      <x:c r="D40" s="165"/>
      <x:c r="E40" s="165"/>
      <x:c r="F40" s="166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164"/>
      <x:c r="B41" s="165"/>
      <x:c r="C41" s="165"/>
      <x:c r="D41" s="165"/>
      <x:c r="E41" s="165"/>
      <x:c r="F41" s="166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164"/>
      <x:c r="B42" s="165"/>
      <x:c r="C42" s="165"/>
      <x:c r="D42" s="165"/>
      <x:c r="E42" s="165"/>
      <x:c r="F42" s="166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164"/>
      <x:c r="B43" s="165"/>
      <x:c r="C43" s="165"/>
      <x:c r="D43" s="165"/>
      <x:c r="E43" s="165"/>
      <x:c r="F43" s="166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164"/>
      <x:c r="B44" s="165"/>
      <x:c r="C44" s="165"/>
      <x:c r="D44" s="165"/>
      <x:c r="E44" s="165"/>
      <x:c r="F44" s="166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164"/>
      <x:c r="B45" s="165"/>
      <x:c r="C45" s="165"/>
      <x:c r="D45" s="165"/>
      <x:c r="E45" s="165"/>
      <x:c r="F45" s="166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164"/>
      <x:c r="B46" s="165"/>
      <x:c r="C46" s="165"/>
      <x:c r="D46" s="165"/>
      <x:c r="E46" s="165"/>
      <x:c r="F46" s="166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164"/>
      <x:c r="B47" s="165"/>
      <x:c r="C47" s="165"/>
      <x:c r="D47" s="165"/>
      <x:c r="E47" s="165"/>
      <x:c r="F47" s="166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164"/>
      <x:c r="B48" s="165"/>
      <x:c r="C48" s="165"/>
      <x:c r="D48" s="165"/>
      <x:c r="E48" s="165"/>
      <x:c r="F48" s="166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164"/>
      <x:c r="B49" s="165"/>
      <x:c r="C49" s="165"/>
      <x:c r="D49" s="165"/>
      <x:c r="E49" s="165"/>
      <x:c r="F49" s="166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164"/>
      <x:c r="B50" s="165"/>
      <x:c r="C50" s="165"/>
      <x:c r="D50" s="165"/>
      <x:c r="E50" s="165"/>
      <x:c r="F50" s="166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164"/>
      <x:c r="B51" s="165"/>
      <x:c r="C51" s="165"/>
      <x:c r="D51" s="165"/>
      <x:c r="E51" s="165"/>
      <x:c r="F51" s="166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164"/>
      <x:c r="B52" s="165"/>
      <x:c r="C52" s="165"/>
      <x:c r="D52" s="165"/>
      <x:c r="E52" s="165"/>
      <x:c r="F52" s="166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164"/>
      <x:c r="B53" s="165"/>
      <x:c r="C53" s="165"/>
      <x:c r="D53" s="165"/>
      <x:c r="E53" s="165"/>
      <x:c r="F53" s="166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164"/>
      <x:c r="B54" s="165"/>
      <x:c r="C54" s="165"/>
      <x:c r="D54" s="165"/>
      <x:c r="E54" s="165"/>
      <x:c r="F54" s="166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164"/>
      <x:c r="B55" s="165"/>
      <x:c r="C55" s="165"/>
      <x:c r="D55" s="165"/>
      <x:c r="E55" s="165"/>
      <x:c r="F55" s="166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164"/>
      <x:c r="B56" s="165"/>
      <x:c r="C56" s="165"/>
      <x:c r="D56" s="165"/>
      <x:c r="E56" s="165"/>
      <x:c r="F56" s="166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164"/>
      <x:c r="B57" s="165"/>
      <x:c r="C57" s="165"/>
      <x:c r="D57" s="165"/>
      <x:c r="E57" s="165"/>
      <x:c r="F57" s="166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164"/>
      <x:c r="B58" s="165"/>
      <x:c r="C58" s="165"/>
      <x:c r="D58" s="165"/>
      <x:c r="E58" s="165"/>
      <x:c r="F58" s="166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164"/>
      <x:c r="B59" s="165"/>
      <x:c r="C59" s="165"/>
      <x:c r="D59" s="165"/>
      <x:c r="E59" s="165"/>
      <x:c r="F59" s="166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167"/>
      <x:c r="B60" s="168"/>
      <x:c r="C60" s="168"/>
      <x:c r="D60" s="168"/>
      <x:c r="E60" s="168"/>
      <x:c r="F60" s="169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F1"/>
  </x:mergeCells>
  <x:pageMargins left="0.7" right="0.7" top="0.75" bottom="0.75" header="0.3" footer="0.3"/>
</x:worksheet>
</file>