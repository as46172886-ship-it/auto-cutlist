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723f0a265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料單" sheetId="1" r:id="R4494978d1b9b48a0"/>
    <x:sheet xmlns:r="http://schemas.openxmlformats.org/officeDocument/2006/relationships" name="五金" sheetId="2" r:id="Rb368b2d18aef4fa4"/>
    <x:sheet xmlns:r="http://schemas.openxmlformats.org/officeDocument/2006/relationships" name="修正紀錄" sheetId="3" r:id="R56987cc166f4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Microsoft JhengHei"/>
    </x:font>
    <x:font>
      <x:b/>
      <x:sz val="18"/>
      <x:color rgb="FFFFFFFF"/>
      <x:name val="Microsoft JhengHei"/>
    </x:font>
    <x:font>
      <x:b/>
      <x:sz val="10"/>
      <x:color rgb="FF7A4E00"/>
      <x:name val="Microsoft JhengHei"/>
    </x:font>
    <x:font>
      <x:b/>
      <x:sz val="10"/>
      <x:color rgb="FF1F2937"/>
      <x:name val="Microsoft JhengHei"/>
    </x:font>
    <x:font>
      <x:b/>
      <x:sz val="10"/>
      <x:color rgb="FFFFFFFF"/>
      <x:name val="Microsoft JhengHei"/>
    </x:font>
    <x:font>
      <x:b/>
      <x:sz val="10"/>
      <x:color rgb="FF1F4E78"/>
      <x:name val="Microsoft JhengHei"/>
    </x:font>
    <x:font>
      <x:b/>
      <x:sz val="10"/>
      <x:color rgb="FF27632A"/>
      <x:name val="Microsoft Jheng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0F6B65"/>
      </x:patternFill>
    </x:fill>
    <x:fill>
      <x:patternFill patternType="solid">
        <x:fgColor rgb="FFEDF4FB"/>
      </x:patternFill>
    </x:fill>
    <x:fill>
      <x:patternFill patternType="solid">
        <x:fgColor rgb="FFEFF8F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</x:fills>
  <x:borders count="5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C7CDD4"/>
      </x:left>
      <x:right style="thin">
        <x:color rgb="FFC7CDD4"/>
      </x:right>
      <x:top style="thin">
        <x:color rgb="FFC7CDD4"/>
      </x:top>
      <x:bottom style="thin">
        <x:color rgb="FFC7CDD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left" vertical="center" wrapText="1"/>
    </x:xf>
    <x:xf numFmtId="0" fontId="1" fillId="8" borderId="4" xfId="0" applyNumberFormat="1" applyFont="1" applyFill="1" applyBorder="1" applyAlignment="1">
      <x:alignment horizontal="left" vertical="center" wrapText="1"/>
    </x:xf>
    <x:xf numFmtId="200" fontId="1" fillId="7" borderId="4" xfId="0" applyNumberFormat="1" applyFont="1" applyFill="1" applyBorder="1" applyAlignment="1">
      <x:alignment horizontal="center" vertical="center" wrapText="1"/>
    </x:xf>
    <x:xf numFmtId="200" fontId="1" fillId="8" borderId="4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 applyAlignment="1">
      <x:alignment vertical="center" wrapText="1"/>
    </x:xf>
    <x:xf numFmtId="0" fontId="1" fillId="10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11" borderId="4" xfId="0" applyNumberFormat="1" applyFont="1" applyFill="1" applyBorder="1" applyAlignment="1">
      <x:alignment vertical="center" wrapText="1"/>
    </x:xf>
    <x:xf numFmtId="0" fontId="7" fillId="11" borderId="4" xfId="0" applyNumberFormat="1" applyFont="1" applyFill="1" applyBorder="1" applyAlignment="1">
      <x:alignment vertical="center" wrapText="1"/>
    </x:xf>
    <x:xf numFmtId="0" fontId="7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b3b0b4c5545f6" /><Relationship Type="http://schemas.openxmlformats.org/officeDocument/2006/relationships/theme" Target="/xl/theme/theme1.xml" Id="Ra97de8b454c8424a" /><Relationship Type="http://schemas.openxmlformats.org/officeDocument/2006/relationships/sharedStrings" Target="/xl/sharedStrings.xml" Id="Re1ab07f0c45347f6" /><Relationship Type="http://schemas.openxmlformats.org/officeDocument/2006/relationships/worksheet" Target="/xl/worksheets/sheet1.xml" Id="R4494978d1b9b48a0" /><Relationship Type="http://schemas.openxmlformats.org/officeDocument/2006/relationships/worksheet" Target="/xl/worksheets/sheet2.xml" Id="Rb368b2d18aef4fa4" /><Relationship Type="http://schemas.openxmlformats.org/officeDocument/2006/relationships/worksheet" Target="/xl/worksheets/sheet3.xml" Id="R56987cc166f4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34" hidden="0" customWidth="1"/>
  </x:cols>
  <x:sheetData>
    <x:row r="1" ht="34" customHeight="1">
      <x:c r="A1" s="5" t="str">
        <x:v>佛斯特｜修正版板料單</x:v>
      </x:c>
      <x:c r="B1" s="5" t="str">
        <x:v>佛斯特｜修正版板料單</x:v>
      </x:c>
      <x:c r="C1" s="5" t="str">
        <x:v>佛斯特｜修正版板料單</x:v>
      </x:c>
      <x:c r="D1" s="5" t="str">
        <x:v>佛斯特｜修正版板料單</x:v>
      </x:c>
      <x:c r="E1" s="5" t="str">
        <x:v>佛斯特｜修正版板料單</x:v>
      </x:c>
      <x:c r="F1" s="5" t="str">
        <x:v>佛斯特｜修正版板料單</x:v>
      </x:c>
      <x:c r="G1" s="5" t="str">
        <x:v>佛斯特｜修正版板料單</x:v>
      </x:c>
      <x:c r="H1" s="5" t="str">
        <x:v>佛斯特｜修正版板料單</x:v>
      </x:c>
    </x:row>
    <x:row r="2" ht="30" customHeight="1">
      <x:c r="A2" s="7" t="str">
        <x:v>依 1150811佛斯特.xls 料單核對；尺寸單位為 mm。已將圖一兩個1000桶均按「有中立板」處理，活格板深度統一採 D−40。 </x:v>
      </x:c>
      <x:c r="B2" s="7" t="str">
        <x:v>依 1150811佛斯特.xls 料單核對；尺寸單位為 mm。已將圖一兩個1000桶均按「有中立板」處理，活格板深度統一採 D−40。 </x:v>
      </x:c>
      <x:c r="C2" s="7" t="str">
        <x:v>依 1150811佛斯特.xls 料單核對；尺寸單位為 mm。已將圖一兩個1000桶均按「有中立板」處理，活格板深度統一採 D−40。 </x:v>
      </x:c>
      <x:c r="D2" s="7" t="str">
        <x:v>依 1150811佛斯特.xls 料單核對；尺寸單位為 mm。已將圖一兩個1000桶均按「有中立板」處理，活格板深度統一採 D−40。 </x:v>
      </x:c>
      <x:c r="E2" s="7" t="str">
        <x:v>依 1150811佛斯特.xls 料單核對；尺寸單位為 mm。已將圖一兩個1000桶均按「有中立板」處理，活格板深度統一採 D−40。 </x:v>
      </x:c>
      <x:c r="F2" s="7" t="str">
        <x:v>依 1150811佛斯特.xls 料單核對；尺寸單位為 mm。已將圖一兩個1000桶均按「有中立板」處理，活格板深度統一採 D−40。 </x:v>
      </x:c>
      <x:c r="G2" s="7" t="str">
        <x:v>依 1150811佛斯特.xls 料單核對；尺寸單位為 mm。已將圖一兩個1000桶均按「有中立板」處理，活格板深度統一採 D−40。 </x:v>
      </x:c>
      <x:c r="H2" s="7" t="str">
        <x:v>依 1150811佛斯特.xls 料單核對；尺寸單位為 mm。已將圖一兩個1000桶均按「有中立板」處理，活格板深度統一採 D−40。 </x:v>
      </x:c>
    </x:row>
    <x:row r="3" ht="26" customHeight="1">
      <x:c r="A3" s="13" t="str">
        <x:v>重要檢核：置物櫃1 中立板 321×1436×18 共2片；1000桶活格板改為 310×472 共12片。</x:v>
      </x:c>
      <x:c r="B3" s="14" t="str">
        <x:v>重要檢核：置物櫃1 中立板 321×1436×18 共2片；1000桶活格板改為 310×472 共12片。</x:v>
      </x:c>
      <x:c r="C3" s="14" t="str">
        <x:v>重要檢核：置物櫃1 中立板 321×1436×18 共2片；1000桶活格板改為 310×472 共12片。</x:v>
      </x:c>
      <x:c r="D3" s="14" t="str">
        <x:v>重要檢核：置物櫃1 中立板 321×1436×18 共2片；1000桶活格板改為 310×472 共12片。</x:v>
      </x:c>
      <x:c r="E3" s="14" t="str">
        <x:v>重要檢核：置物櫃1 中立板 321×1436×18 共2片；1000桶活格板改為 310×472 共12片。</x:v>
      </x:c>
      <x:c r="F3" s="14" t="str">
        <x:v>重要檢核：置物櫃1 中立板 321×1436×18 共2片；1000桶活格板改為 310×472 共12片。</x:v>
      </x:c>
      <x:c r="G3" s="14" t="str">
        <x:v>重要檢核：置物櫃1 中立板 321×1436×18 共2片；1000桶活格板改為 310×472 共12片。</x:v>
      </x:c>
      <x:c r="H3" s="15" t="str">
        <x:v>重要檢核：置物櫃1 中立板 321×1436×18 共2片；1000桶活格板改為 310×472 共12片。</x:v>
      </x:c>
    </x:row>
    <x:row r="4">
      <x:c r="A4" s="19" t="str">
        <x:v>置物櫃1 板料列數</x:v>
      </x:c>
      <x:c r="B4" s="19" t="n">
        <x:f>COUNTIF($A$7:$A$50,"置物櫃1")</x:f>
        <x:v>18</x:v>
      </x:c>
      <x:c r="C4" s="19" t="str">
        <x:v>總片數</x:v>
      </x:c>
      <x:c r="D4" s="19" t="n">
        <x:f>SUMIF($A$7:$A$50,"置物櫃1",$G$7:$G$50)</x:f>
        <x:v>50</x:v>
      </x:c>
      <x:c r="E4" s="19" t="str">
        <x:v>置物櫃2 板料列數</x:v>
      </x:c>
      <x:c r="F4" s="19" t="n">
        <x:f>COUNTIF($A$7:$A$50,"置物櫃2")</x:f>
        <x:v>26</x:v>
      </x:c>
      <x:c r="G4" s="19" t="str">
        <x:v>總片數</x:v>
      </x:c>
      <x:c r="H4" s="19" t="n">
        <x:f>SUMIF($A$7:$A$50,"置物櫃2",$G$7:$G$50)</x:f>
        <x:v>79</x:v>
      </x:c>
    </x:row>
    <x:row r="5">
      <x:c r="A5" s="2"/>
      <x:c r="B5" s="2"/>
      <x:c r="C5" s="33"/>
      <x:c r="D5" s="33"/>
      <x:c r="E5" s="33"/>
      <x:c r="F5" s="33"/>
      <x:c r="G5" s="33"/>
      <x:c r="H5" s="33"/>
    </x:row>
    <x:row r="6" ht="24" customHeight="1">
      <x:c r="A6" s="24" t="str">
        <x:v>櫃體</x:v>
      </x:c>
      <x:c r="B6" s="24" t="str">
        <x:v>品項</x:v>
      </x:c>
      <x:c r="C6" s="24" t="str">
        <x:v>深／寬</x:v>
      </x:c>
      <x:c r="D6" s="24" t="str">
        <x:v>長</x:v>
      </x:c>
      <x:c r="E6" s="24" t="str">
        <x:v>厚</x:v>
      </x:c>
      <x:c r="F6" s="24" t="str">
        <x:v>色號</x:v>
      </x:c>
      <x:c r="G6" s="24" t="str">
        <x:v>數量（片）</x:v>
      </x:c>
      <x:c r="H6" s="24" t="str">
        <x:v>備註</x:v>
      </x:c>
    </x:row>
    <x:row r="7" ht="22" customHeight="1">
      <x:c r="A7" s="29" t="str">
        <x:v>置物櫃1</x:v>
      </x:c>
      <x:c r="B7" s="31" t="str">
        <x:v>側板</x:v>
      </x:c>
      <x:c r="C7" s="38" t="n">
        <x:v>350</x:v>
      </x:c>
      <x:c r="D7" s="38" t="n">
        <x:v>1472</x:v>
      </x:c>
      <x:c r="E7" s="38" t="n">
        <x:v>18</x:v>
      </x:c>
      <x:c r="F7" s="38" t="str">
        <x:v>H003</x:v>
      </x:c>
      <x:c r="G7" s="38" t="n">
        <x:v>8</x:v>
      </x:c>
      <x:c r="H7" s="36" t="str"/>
    </x:row>
    <x:row r="8" ht="22" customHeight="1">
      <x:c r="A8" s="29" t="str">
        <x:v>置物櫃1</x:v>
      </x:c>
      <x:c r="B8" s="31" t="str">
        <x:v>頂底板</x:v>
      </x:c>
      <x:c r="C8" s="38" t="n">
        <x:v>350</x:v>
      </x:c>
      <x:c r="D8" s="38" t="n">
        <x:v>964</x:v>
      </x:c>
      <x:c r="E8" s="38" t="n">
        <x:v>18</x:v>
      </x:c>
      <x:c r="F8" s="38" t="str">
        <x:v>H003</x:v>
      </x:c>
      <x:c r="G8" s="38" t="n">
        <x:v>4</x:v>
      </x:c>
      <x:c r="H8" s="36" t="str"/>
    </x:row>
    <x:row r="9" ht="22" customHeight="1">
      <x:c r="A9" s="29" t="str">
        <x:v>置物櫃1</x:v>
      </x:c>
      <x:c r="B9" s="31" t="str">
        <x:v>頂底板</x:v>
      </x:c>
      <x:c r="C9" s="38" t="n">
        <x:v>350</x:v>
      </x:c>
      <x:c r="D9" s="38" t="n">
        <x:v>464</x:v>
      </x:c>
      <x:c r="E9" s="38" t="n">
        <x:v>18</x:v>
      </x:c>
      <x:c r="F9" s="38" t="str">
        <x:v>H003</x:v>
      </x:c>
      <x:c r="G9" s="38" t="n">
        <x:v>2</x:v>
      </x:c>
      <x:c r="H9" s="36" t="str"/>
    </x:row>
    <x:row r="10" ht="22" customHeight="1">
      <x:c r="A10" s="29" t="str">
        <x:v>置物櫃1</x:v>
      </x:c>
      <x:c r="B10" s="31" t="str">
        <x:v>頂底板</x:v>
      </x:c>
      <x:c r="C10" s="38" t="n">
        <x:v>350</x:v>
      </x:c>
      <x:c r="D10" s="38" t="n">
        <x:v>324</x:v>
      </x:c>
      <x:c r="E10" s="38" t="n">
        <x:v>18</x:v>
      </x:c>
      <x:c r="F10" s="38" t="str">
        <x:v>H003</x:v>
      </x:c>
      <x:c r="G10" s="38" t="n">
        <x:v>2</x:v>
      </x:c>
      <x:c r="H10" s="36" t="str"/>
    </x:row>
    <x:row r="11" ht="22" customHeight="1">
      <x:c r="A11" s="29" t="str">
        <x:v>置物櫃1</x:v>
      </x:c>
      <x:c r="B11" s="31" t="str">
        <x:v>中立板</x:v>
      </x:c>
      <x:c r="C11" s="38" t="n">
        <x:v>321</x:v>
      </x:c>
      <x:c r="D11" s="38" t="n">
        <x:v>1436</x:v>
      </x:c>
      <x:c r="E11" s="38" t="n">
        <x:v>18</x:v>
      </x:c>
      <x:c r="F11" s="38" t="str">
        <x:v>H003</x:v>
      </x:c>
      <x:c r="G11" s="38" t="n">
        <x:v>2</x:v>
      </x:c>
      <x:c r="H11" s="36" t="str">
        <x:v>上18、下18；兩個1000桶按有中立板處理</x:v>
      </x:c>
    </x:row>
    <x:row r="12" ht="22" customHeight="1">
      <x:c r="A12" s="29" t="str">
        <x:v>置物櫃1</x:v>
      </x:c>
      <x:c r="B12" s="31" t="str">
        <x:v>活格板</x:v>
      </x:c>
      <x:c r="C12" s="38" t="n">
        <x:v>310</x:v>
      </x:c>
      <x:c r="D12" s="38" t="n">
        <x:v>472</x:v>
      </x:c>
      <x:c r="E12" s="38" t="n">
        <x:v>18</x:v>
      </x:c>
      <x:c r="F12" s="38" t="str">
        <x:v>H003</x:v>
      </x:c>
      <x:c r="G12" s="38" t="n">
        <x:v>12</x:v>
      </x:c>
      <x:c r="H12" s="36" t="str">
        <x:v>活格深度採D−40；1000桶由中立板分隔</x:v>
      </x:c>
    </x:row>
    <x:row r="13" ht="22" customHeight="1">
      <x:c r="A13" s="29" t="str">
        <x:v>置物櫃1</x:v>
      </x:c>
      <x:c r="B13" s="31" t="str">
        <x:v>活格板</x:v>
      </x:c>
      <x:c r="C13" s="38" t="n">
        <x:v>310</x:v>
      </x:c>
      <x:c r="D13" s="38" t="n">
        <x:v>463</x:v>
      </x:c>
      <x:c r="E13" s="38" t="n">
        <x:v>18</x:v>
      </x:c>
      <x:c r="F13" s="38" t="str">
        <x:v>H003</x:v>
      </x:c>
      <x:c r="G13" s="38" t="n">
        <x:v>3</x:v>
      </x:c>
      <x:c r="H13" s="36" t="str">
        <x:v>活格深度採D−40</x:v>
      </x:c>
    </x:row>
    <x:row r="14" ht="22" customHeight="1">
      <x:c r="A14" s="29" t="str">
        <x:v>置物櫃1</x:v>
      </x:c>
      <x:c r="B14" s="31" t="str">
        <x:v>活格板</x:v>
      </x:c>
      <x:c r="C14" s="38" t="n">
        <x:v>310</x:v>
      </x:c>
      <x:c r="D14" s="38" t="n">
        <x:v>323</x:v>
      </x:c>
      <x:c r="E14" s="38" t="n">
        <x:v>18</x:v>
      </x:c>
      <x:c r="F14" s="38" t="str">
        <x:v>H003</x:v>
      </x:c>
      <x:c r="G14" s="38" t="n">
        <x:v>3</x:v>
      </x:c>
      <x:c r="H14" s="36" t="str">
        <x:v>活格深度採D−40</x:v>
      </x:c>
    </x:row>
    <x:row r="15" ht="22" customHeight="1">
      <x:c r="A15" s="29" t="str">
        <x:v>置物櫃1</x:v>
      </x:c>
      <x:c r="B15" s="31" t="str">
        <x:v>填縫板</x:v>
      </x:c>
      <x:c r="C15" s="38" t="n">
        <x:v>100</x:v>
      </x:c>
      <x:c r="D15" s="38" t="n">
        <x:v>1472</x:v>
      </x:c>
      <x:c r="E15" s="38" t="n">
        <x:v>18</x:v>
      </x:c>
      <x:c r="F15" s="38" t="str">
        <x:v>H003</x:v>
      </x:c>
      <x:c r="G15" s="38" t="n">
        <x:v>1</x:v>
      </x:c>
      <x:c r="H15" s="36" t="str"/>
    </x:row>
    <x:row r="16" ht="22" customHeight="1">
      <x:c r="A16" s="29" t="str">
        <x:v>置物櫃1</x:v>
      </x:c>
      <x:c r="B16" s="31" t="str">
        <x:v>4E門板</x:v>
      </x:c>
      <x:c r="C16" s="38" t="n">
        <x:v>507</x:v>
      </x:c>
      <x:c r="D16" s="38" t="n">
        <x:v>1468</x:v>
      </x:c>
      <x:c r="E16" s="38" t="n">
        <x:v>18</x:v>
      </x:c>
      <x:c r="F16" s="38" t="str">
        <x:v>H003</x:v>
      </x:c>
      <x:c r="G16" s="38" t="n">
        <x:v>2</x:v>
      </x:c>
      <x:c r="H16" s="36" t="str">
        <x:v>長斜把</x:v>
      </x:c>
    </x:row>
    <x:row r="17" ht="22" customHeight="1">
      <x:c r="A17" s="29" t="str">
        <x:v>置物櫃1</x:v>
      </x:c>
      <x:c r="B17" s="31" t="str">
        <x:v>背板</x:v>
      </x:c>
      <x:c r="C17" s="38" t="n">
        <x:v>974</x:v>
      </x:c>
      <x:c r="D17" s="38" t="n">
        <x:v>1446</x:v>
      </x:c>
      <x:c r="E17" s="38" t="n">
        <x:v>8</x:v>
      </x:c>
      <x:c r="F17" s="38" t="str">
        <x:v>H003</x:v>
      </x:c>
      <x:c r="G17" s="38" t="n">
        <x:v>2</x:v>
      </x:c>
      <x:c r="H17" s="36" t="str"/>
    </x:row>
    <x:row r="18" ht="22" customHeight="1">
      <x:c r="A18" s="29" t="str">
        <x:v>置物櫃1</x:v>
      </x:c>
      <x:c r="B18" s="31" t="str">
        <x:v>背板</x:v>
      </x:c>
      <x:c r="C18" s="38" t="n">
        <x:v>474</x:v>
      </x:c>
      <x:c r="D18" s="38" t="n">
        <x:v>1446</x:v>
      </x:c>
      <x:c r="E18" s="38" t="n">
        <x:v>8</x:v>
      </x:c>
      <x:c r="F18" s="38" t="str">
        <x:v>H003</x:v>
      </x:c>
      <x:c r="G18" s="38" t="n">
        <x:v>1</x:v>
      </x:c>
      <x:c r="H18" s="36" t="str"/>
    </x:row>
    <x:row r="19" ht="22" customHeight="1">
      <x:c r="A19" s="29" t="str">
        <x:v>置物櫃1</x:v>
      </x:c>
      <x:c r="B19" s="31" t="str">
        <x:v>背板</x:v>
      </x:c>
      <x:c r="C19" s="38" t="n">
        <x:v>334</x:v>
      </x:c>
      <x:c r="D19" s="38" t="n">
        <x:v>1446</x:v>
      </x:c>
      <x:c r="E19" s="38" t="n">
        <x:v>8</x:v>
      </x:c>
      <x:c r="F19" s="38" t="str">
        <x:v>H003</x:v>
      </x:c>
      <x:c r="G19" s="38" t="n">
        <x:v>1</x:v>
      </x:c>
      <x:c r="H19" s="36" t="str"/>
    </x:row>
    <x:row r="20" ht="22" customHeight="1">
      <x:c r="A20" s="29" t="str">
        <x:v>置物櫃1</x:v>
      </x:c>
      <x:c r="B20" s="31" t="str">
        <x:v>踢腳板</x:v>
      </x:c>
      <x:c r="C20" s="38" t="n">
        <x:v>120</x:v>
      </x:c>
      <x:c r="D20" s="38" t="n">
        <x:v>2800</x:v>
      </x:c>
      <x:c r="E20" s="38" t="n">
        <x:v>18</x:v>
      </x:c>
      <x:c r="F20" s="38" t="str">
        <x:v>H003</x:v>
      </x:c>
      <x:c r="G20" s="38" t="n">
        <x:v>2</x:v>
      </x:c>
      <x:c r="H20" s="36" t="str"/>
    </x:row>
    <x:row r="21" ht="22" customHeight="1">
      <x:c r="A21" s="29" t="str">
        <x:v>置物櫃1</x:v>
      </x:c>
      <x:c r="B21" s="31" t="str">
        <x:v>踢腳板</x:v>
      </x:c>
      <x:c r="C21" s="38" t="n">
        <x:v>120</x:v>
      </x:c>
      <x:c r="D21" s="38" t="n">
        <x:v>800</x:v>
      </x:c>
      <x:c r="E21" s="38" t="n">
        <x:v>18</x:v>
      </x:c>
      <x:c r="F21" s="38" t="str">
        <x:v>H003</x:v>
      </x:c>
      <x:c r="G21" s="38" t="n">
        <x:v>1</x:v>
      </x:c>
      <x:c r="H21" s="36" t="str"/>
    </x:row>
    <x:row r="22" ht="22" customHeight="1">
      <x:c r="A22" s="29" t="str">
        <x:v>置物櫃1</x:v>
      </x:c>
      <x:c r="B22" s="31" t="str">
        <x:v>背條</x:v>
      </x:c>
      <x:c r="C22" s="38" t="n">
        <x:v>110</x:v>
      </x:c>
      <x:c r="D22" s="38" t="n">
        <x:v>964</x:v>
      </x:c>
      <x:c r="E22" s="38" t="n">
        <x:v>18</x:v>
      </x:c>
      <x:c r="F22" s="38" t="str">
        <x:v>—</x:v>
      </x:c>
      <x:c r="G22" s="38" t="n">
        <x:v>2</x:v>
      </x:c>
      <x:c r="H22" s="36" t="str"/>
    </x:row>
    <x:row r="23" ht="22" customHeight="1">
      <x:c r="A23" s="29" t="str">
        <x:v>置物櫃1</x:v>
      </x:c>
      <x:c r="B23" s="31" t="str">
        <x:v>背條</x:v>
      </x:c>
      <x:c r="C23" s="38" t="n">
        <x:v>110</x:v>
      </x:c>
      <x:c r="D23" s="38" t="n">
        <x:v>464</x:v>
      </x:c>
      <x:c r="E23" s="38" t="n">
        <x:v>18</x:v>
      </x:c>
      <x:c r="F23" s="38" t="str">
        <x:v>—</x:v>
      </x:c>
      <x:c r="G23" s="38" t="n">
        <x:v>1</x:v>
      </x:c>
      <x:c r="H23" s="36" t="str"/>
    </x:row>
    <x:row r="24" ht="22" customHeight="1">
      <x:c r="A24" s="29" t="str">
        <x:v>置物櫃1</x:v>
      </x:c>
      <x:c r="B24" s="31" t="str">
        <x:v>背條</x:v>
      </x:c>
      <x:c r="C24" s="38" t="n">
        <x:v>110</x:v>
      </x:c>
      <x:c r="D24" s="38" t="n">
        <x:v>324</x:v>
      </x:c>
      <x:c r="E24" s="38" t="n">
        <x:v>18</x:v>
      </x:c>
      <x:c r="F24" s="38" t="str">
        <x:v>—</x:v>
      </x:c>
      <x:c r="G24" s="38" t="n">
        <x:v>1</x:v>
      </x:c>
      <x:c r="H24" s="36" t="str"/>
    </x:row>
    <x:row r="25" ht="22" customHeight="1">
      <x:c r="A25" s="30" t="str">
        <x:v>置物櫃2</x:v>
      </x:c>
      <x:c r="B25" s="32" t="str">
        <x:v>側板</x:v>
      </x:c>
      <x:c r="C25" s="39" t="n">
        <x:v>500</x:v>
      </x:c>
      <x:c r="D25" s="39" t="n">
        <x:v>640</x:v>
      </x:c>
      <x:c r="E25" s="39" t="n">
        <x:v>18</x:v>
      </x:c>
      <x:c r="F25" s="39" t="str">
        <x:v>H003</x:v>
      </x:c>
      <x:c r="G25" s="39" t="n">
        <x:v>6</x:v>
      </x:c>
      <x:c r="H25" s="37" t="str"/>
    </x:row>
    <x:row r="26" ht="22" customHeight="1">
      <x:c r="A26" s="30" t="str">
        <x:v>置物櫃2</x:v>
      </x:c>
      <x:c r="B26" s="32" t="str">
        <x:v>側板</x:v>
      </x:c>
      <x:c r="C26" s="39" t="n">
        <x:v>350</x:v>
      </x:c>
      <x:c r="D26" s="39" t="n">
        <x:v>640</x:v>
      </x:c>
      <x:c r="E26" s="39" t="n">
        <x:v>18</x:v>
      </x:c>
      <x:c r="F26" s="39" t="str">
        <x:v>H003</x:v>
      </x:c>
      <x:c r="G26" s="39" t="n">
        <x:v>4</x:v>
      </x:c>
      <x:c r="H26" s="37" t="str"/>
    </x:row>
    <x:row r="27" ht="22" customHeight="1">
      <x:c r="A27" s="30" t="str">
        <x:v>置物櫃2</x:v>
      </x:c>
      <x:c r="B27" s="32" t="str">
        <x:v>頂底板</x:v>
      </x:c>
      <x:c r="C27" s="39" t="n">
        <x:v>500</x:v>
      </x:c>
      <x:c r="D27" s="39" t="n">
        <x:v>884</x:v>
      </x:c>
      <x:c r="E27" s="39" t="n">
        <x:v>18</x:v>
      </x:c>
      <x:c r="F27" s="39" t="str">
        <x:v>H003</x:v>
      </x:c>
      <x:c r="G27" s="39" t="n">
        <x:v>4</x:v>
      </x:c>
      <x:c r="H27" s="37" t="str"/>
    </x:row>
    <x:row r="28" ht="22" customHeight="1">
      <x:c r="A28" s="30" t="str">
        <x:v>置物櫃2</x:v>
      </x:c>
      <x:c r="B28" s="32" t="str">
        <x:v>頂底板</x:v>
      </x:c>
      <x:c r="C28" s="39" t="n">
        <x:v>500</x:v>
      </x:c>
      <x:c r="D28" s="39" t="n">
        <x:v>424</x:v>
      </x:c>
      <x:c r="E28" s="39" t="n">
        <x:v>18</x:v>
      </x:c>
      <x:c r="F28" s="39" t="str">
        <x:v>H003</x:v>
      </x:c>
      <x:c r="G28" s="39" t="n">
        <x:v>2</x:v>
      </x:c>
      <x:c r="H28" s="37" t="str"/>
    </x:row>
    <x:row r="29" ht="22" customHeight="1">
      <x:c r="A29" s="30" t="str">
        <x:v>置物櫃2</x:v>
      </x:c>
      <x:c r="B29" s="32" t="str">
        <x:v>頂底板</x:v>
      </x:c>
      <x:c r="C29" s="39" t="n">
        <x:v>350</x:v>
      </x:c>
      <x:c r="D29" s="39" t="n">
        <x:v>424</x:v>
      </x:c>
      <x:c r="E29" s="39" t="n">
        <x:v>18</x:v>
      </x:c>
      <x:c r="F29" s="39" t="str">
        <x:v>H003</x:v>
      </x:c>
      <x:c r="G29" s="39" t="n">
        <x:v>4</x:v>
      </x:c>
      <x:c r="H29" s="37" t="str"/>
    </x:row>
    <x:row r="30" ht="22" customHeight="1">
      <x:c r="A30" s="30" t="str">
        <x:v>置物櫃2</x:v>
      </x:c>
      <x:c r="B30" s="32" t="str">
        <x:v>中立板</x:v>
      </x:c>
      <x:c r="C30" s="39" t="n">
        <x:v>471</x:v>
      </x:c>
      <x:c r="D30" s="39" t="n">
        <x:v>165</x:v>
      </x:c>
      <x:c r="E30" s="39" t="n">
        <x:v>18</x:v>
      </x:c>
      <x:c r="F30" s="39" t="str">
        <x:v>H003</x:v>
      </x:c>
      <x:c r="G30" s="39" t="n">
        <x:v>2</x:v>
      </x:c>
      <x:c r="H30" s="37" t="str"/>
    </x:row>
    <x:row r="31" ht="22" customHeight="1">
      <x:c r="A31" s="30" t="str">
        <x:v>置物櫃2</x:v>
      </x:c>
      <x:c r="B31" s="32" t="str">
        <x:v>固格板</x:v>
      </x:c>
      <x:c r="C31" s="39" t="n">
        <x:v>452</x:v>
      </x:c>
      <x:c r="D31" s="39" t="n">
        <x:v>884</x:v>
      </x:c>
      <x:c r="E31" s="39" t="n">
        <x:v>18</x:v>
      </x:c>
      <x:c r="F31" s="39" t="str">
        <x:v>H003</x:v>
      </x:c>
      <x:c r="G31" s="39" t="n">
        <x:v>2</x:v>
      </x:c>
      <x:c r="H31" s="37" t="str">
        <x:v>471用，前縮19mm</x:v>
      </x:c>
    </x:row>
    <x:row r="32" ht="22" customHeight="1">
      <x:c r="A32" s="30" t="str">
        <x:v>置物櫃2</x:v>
      </x:c>
      <x:c r="B32" s="32" t="str">
        <x:v>活格板</x:v>
      </x:c>
      <x:c r="C32" s="39" t="n">
        <x:v>460</x:v>
      </x:c>
      <x:c r="D32" s="39" t="n">
        <x:v>883</x:v>
      </x:c>
      <x:c r="E32" s="39" t="n">
        <x:v>18</x:v>
      </x:c>
      <x:c r="F32" s="39" t="str">
        <x:v>H003</x:v>
      </x:c>
      <x:c r="G32" s="39" t="n">
        <x:v>2</x:v>
      </x:c>
      <x:c r="H32" s="37" t="str">
        <x:v>活格深度採D−40</x:v>
      </x:c>
    </x:row>
    <x:row r="33" ht="22" customHeight="1">
      <x:c r="A33" s="30" t="str">
        <x:v>置物櫃2</x:v>
      </x:c>
      <x:c r="B33" s="32" t="str">
        <x:v>活格板</x:v>
      </x:c>
      <x:c r="C33" s="39" t="n">
        <x:v>460</x:v>
      </x:c>
      <x:c r="D33" s="39" t="n">
        <x:v>423</x:v>
      </x:c>
      <x:c r="E33" s="39" t="n">
        <x:v>18</x:v>
      </x:c>
      <x:c r="F33" s="39" t="str">
        <x:v>H003</x:v>
      </x:c>
      <x:c r="G33" s="39" t="n">
        <x:v>1</x:v>
      </x:c>
      <x:c r="H33" s="37" t="str">
        <x:v>活格深度採D−40</x:v>
      </x:c>
    </x:row>
    <x:row r="34" ht="22" customHeight="1">
      <x:c r="A34" s="30" t="str">
        <x:v>置物櫃2</x:v>
      </x:c>
      <x:c r="B34" s="32" t="str">
        <x:v>活格板</x:v>
      </x:c>
      <x:c r="C34" s="39" t="n">
        <x:v>310</x:v>
      </x:c>
      <x:c r="D34" s="39" t="n">
        <x:v>423</x:v>
      </x:c>
      <x:c r="E34" s="39" t="n">
        <x:v>18</x:v>
      </x:c>
      <x:c r="F34" s="39" t="str">
        <x:v>H003</x:v>
      </x:c>
      <x:c r="G34" s="39" t="n">
        <x:v>2</x:v>
      </x:c>
      <x:c r="H34" s="37" t="str">
        <x:v>活格深度採D−40</x:v>
      </x:c>
    </x:row>
    <x:row r="35" ht="22" customHeight="1">
      <x:c r="A35" s="30" t="str">
        <x:v>置物櫃2</x:v>
      </x:c>
      <x:c r="B35" s="32" t="str">
        <x:v>前抽牆</x:v>
      </x:c>
      <x:c r="C35" s="39" t="n">
        <x:v>120</x:v>
      </x:c>
      <x:c r="D35" s="39" t="n">
        <x:v>370</x:v>
      </x:c>
      <x:c r="E35" s="39" t="n">
        <x:v>18</x:v>
      </x:c>
      <x:c r="F35" s="39" t="str">
        <x:v>H003</x:v>
      </x:c>
      <x:c r="G35" s="39" t="n">
        <x:v>8</x:v>
      </x:c>
      <x:c r="H35" s="37" t="str"/>
    </x:row>
    <x:row r="36" ht="22" customHeight="1">
      <x:c r="A36" s="30" t="str">
        <x:v>置物櫃2</x:v>
      </x:c>
      <x:c r="B36" s="32" t="str">
        <x:v>前抽牆</x:v>
      </x:c>
      <x:c r="C36" s="39" t="n">
        <x:v>120</x:v>
      </x:c>
      <x:c r="D36" s="39" t="n">
        <x:v>361</x:v>
      </x:c>
      <x:c r="E36" s="39" t="n">
        <x:v>18</x:v>
      </x:c>
      <x:c r="F36" s="39" t="str">
        <x:v>H003</x:v>
      </x:c>
      <x:c r="G36" s="39" t="n">
        <x:v>2</x:v>
      </x:c>
      <x:c r="H36" s="37" t="str"/>
    </x:row>
    <x:row r="37" ht="22" customHeight="1">
      <x:c r="A37" s="30" t="str">
        <x:v>置物櫃2</x:v>
      </x:c>
      <x:c r="B37" s="32" t="str">
        <x:v>邊抽牆</x:v>
      </x:c>
      <x:c r="C37" s="39" t="n">
        <x:v>120</x:v>
      </x:c>
      <x:c r="D37" s="39" t="n">
        <x:v>450</x:v>
      </x:c>
      <x:c r="E37" s="39" t="n">
        <x:v>18</x:v>
      </x:c>
      <x:c r="F37" s="39" t="str">
        <x:v>H003</x:v>
      </x:c>
      <x:c r="G37" s="39" t="n">
        <x:v>10</x:v>
      </x:c>
      <x:c r="H37" s="37" t="str"/>
    </x:row>
    <x:row r="38" ht="22" customHeight="1">
      <x:c r="A38" s="30" t="str">
        <x:v>置物櫃2</x:v>
      </x:c>
      <x:c r="B38" s="32" t="str">
        <x:v>抽底板</x:v>
      </x:c>
      <x:c r="C38" s="39" t="n">
        <x:v>380</x:v>
      </x:c>
      <x:c r="D38" s="39" t="n">
        <x:v>424</x:v>
      </x:c>
      <x:c r="E38" s="39" t="n">
        <x:v>8</x:v>
      </x:c>
      <x:c r="F38" s="39" t="str">
        <x:v>H003</x:v>
      </x:c>
      <x:c r="G38" s="39" t="n">
        <x:v>4</x:v>
      </x:c>
      <x:c r="H38" s="37" t="str"/>
    </x:row>
    <x:row r="39" ht="22" customHeight="1">
      <x:c r="A39" s="30" t="str">
        <x:v>置物櫃2</x:v>
      </x:c>
      <x:c r="B39" s="32" t="str">
        <x:v>抽底板</x:v>
      </x:c>
      <x:c r="C39" s="39" t="n">
        <x:v>371</x:v>
      </x:c>
      <x:c r="D39" s="39" t="n">
        <x:v>424</x:v>
      </x:c>
      <x:c r="E39" s="39" t="n">
        <x:v>8</x:v>
      </x:c>
      <x:c r="F39" s="39" t="str">
        <x:v>H003</x:v>
      </x:c>
      <x:c r="G39" s="39" t="n">
        <x:v>1</x:v>
      </x:c>
      <x:c r="H39" s="37" t="str"/>
    </x:row>
    <x:row r="40" ht="22" customHeight="1">
      <x:c r="A40" s="30" t="str">
        <x:v>置物櫃2</x:v>
      </x:c>
      <x:c r="B40" s="32" t="str">
        <x:v>4E門板</x:v>
      </x:c>
      <x:c r="C40" s="39" t="n">
        <x:v>457</x:v>
      </x:c>
      <x:c r="D40" s="39" t="n">
        <x:v>634</x:v>
      </x:c>
      <x:c r="E40" s="39" t="n">
        <x:v>18</x:v>
      </x:c>
      <x:c r="F40" s="39" t="str">
        <x:v>H003</x:v>
      </x:c>
      <x:c r="G40" s="39" t="n">
        <x:v>2</x:v>
      </x:c>
      <x:c r="H40" s="37" t="str">
        <x:v>長斜把</x:v>
      </x:c>
    </x:row>
    <x:row r="41" ht="22" customHeight="1">
      <x:c r="A41" s="30" t="str">
        <x:v>置物櫃2</x:v>
      </x:c>
      <x:c r="B41" s="32" t="str">
        <x:v>4E門板</x:v>
      </x:c>
      <x:c r="C41" s="39" t="n">
        <x:v>457</x:v>
      </x:c>
      <x:c r="D41" s="39" t="n">
        <x:v>415</x:v>
      </x:c>
      <x:c r="E41" s="39" t="n">
        <x:v>18</x:v>
      </x:c>
      <x:c r="F41" s="39" t="str">
        <x:v>H003</x:v>
      </x:c>
      <x:c r="G41" s="39" t="n">
        <x:v>5</x:v>
      </x:c>
      <x:c r="H41" s="37" t="str">
        <x:v>3左、2右，上斜把</x:v>
      </x:c>
    </x:row>
    <x:row r="42" ht="22" customHeight="1">
      <x:c r="A42" s="30" t="str">
        <x:v>置物櫃2</x:v>
      </x:c>
      <x:c r="B42" s="32" t="str">
        <x:v>假門板</x:v>
      </x:c>
      <x:c r="C42" s="39" t="n">
        <x:v>120</x:v>
      </x:c>
      <x:c r="D42" s="39" t="n">
        <x:v>636</x:v>
      </x:c>
      <x:c r="E42" s="39" t="n">
        <x:v>18</x:v>
      </x:c>
      <x:c r="F42" s="39" t="str">
        <x:v>H003</x:v>
      </x:c>
      <x:c r="G42" s="39" t="n">
        <x:v>2</x:v>
      </x:c>
      <x:c r="H42" s="37" t="str"/>
    </x:row>
    <x:row r="43" ht="22" customHeight="1">
      <x:c r="A43" s="30" t="str">
        <x:v>置物櫃2</x:v>
      </x:c>
      <x:c r="B43" s="32" t="str">
        <x:v>屜頭</x:v>
      </x:c>
      <x:c r="C43" s="39" t="n">
        <x:v>457</x:v>
      </x:c>
      <x:c r="D43" s="39" t="n">
        <x:v>201</x:v>
      </x:c>
      <x:c r="E43" s="39" t="n">
        <x:v>18</x:v>
      </x:c>
      <x:c r="F43" s="39" t="str">
        <x:v>H003</x:v>
      </x:c>
      <x:c r="G43" s="39" t="n">
        <x:v>5</x:v>
      </x:c>
      <x:c r="H43" s="37" t="str">
        <x:v>下斜把</x:v>
      </x:c>
    </x:row>
    <x:row r="44" ht="22" customHeight="1">
      <x:c r="A44" s="30" t="str">
        <x:v>置物櫃2</x:v>
      </x:c>
      <x:c r="B44" s="32" t="str">
        <x:v>擋板</x:v>
      </x:c>
      <x:c r="C44" s="39" t="n">
        <x:v>60</x:v>
      </x:c>
      <x:c r="D44" s="39" t="n">
        <x:v>884</x:v>
      </x:c>
      <x:c r="E44" s="39" t="n">
        <x:v>18</x:v>
      </x:c>
      <x:c r="F44" s="39" t="str">
        <x:v>H003</x:v>
      </x:c>
      <x:c r="G44" s="39" t="n">
        <x:v>2</x:v>
      </x:c>
      <x:c r="H44" s="37" t="str"/>
    </x:row>
    <x:row r="45" ht="22" customHeight="1">
      <x:c r="A45" s="30" t="str">
        <x:v>置物櫃2</x:v>
      </x:c>
      <x:c r="B45" s="32" t="str">
        <x:v>擋板</x:v>
      </x:c>
      <x:c r="C45" s="39" t="n">
        <x:v>60</x:v>
      </x:c>
      <x:c r="D45" s="39" t="n">
        <x:v>424</x:v>
      </x:c>
      <x:c r="E45" s="39" t="n">
        <x:v>18</x:v>
      </x:c>
      <x:c r="F45" s="39" t="str">
        <x:v>H003</x:v>
      </x:c>
      <x:c r="G45" s="39" t="n">
        <x:v>1</x:v>
      </x:c>
      <x:c r="H45" s="37" t="str"/>
    </x:row>
    <x:row r="46" ht="22" customHeight="1">
      <x:c r="A46" s="30" t="str">
        <x:v>置物櫃2</x:v>
      </x:c>
      <x:c r="B46" s="32" t="str">
        <x:v>背板</x:v>
      </x:c>
      <x:c r="C46" s="39" t="n">
        <x:v>894</x:v>
      </x:c>
      <x:c r="D46" s="39" t="n">
        <x:v>614</x:v>
      </x:c>
      <x:c r="E46" s="39" t="n">
        <x:v>8</x:v>
      </x:c>
      <x:c r="F46" s="39" t="str">
        <x:v>H003</x:v>
      </x:c>
      <x:c r="G46" s="39" t="n">
        <x:v>2</x:v>
      </x:c>
      <x:c r="H46" s="37" t="str"/>
    </x:row>
    <x:row r="47" ht="22" customHeight="1">
      <x:c r="A47" s="30" t="str">
        <x:v>置物櫃2</x:v>
      </x:c>
      <x:c r="B47" s="32" t="str">
        <x:v>背板</x:v>
      </x:c>
      <x:c r="C47" s="39" t="n">
        <x:v>434</x:v>
      </x:c>
      <x:c r="D47" s="39" t="n">
        <x:v>614</x:v>
      </x:c>
      <x:c r="E47" s="39" t="n">
        <x:v>8</x:v>
      </x:c>
      <x:c r="F47" s="39" t="str">
        <x:v>H003</x:v>
      </x:c>
      <x:c r="G47" s="39" t="n">
        <x:v>3</x:v>
      </x:c>
      <x:c r="H47" s="37" t="str"/>
    </x:row>
    <x:row r="48" ht="22" customHeight="1">
      <x:c r="A48" s="30" t="str">
        <x:v>置物櫃2</x:v>
      </x:c>
      <x:c r="B48" s="32" t="str">
        <x:v>踢腳板</x:v>
      </x:c>
      <x:c r="C48" s="39" t="n">
        <x:v>120</x:v>
      </x:c>
      <x:c r="D48" s="39" t="n">
        <x:v>2800</x:v>
      </x:c>
      <x:c r="E48" s="39" t="n">
        <x:v>18</x:v>
      </x:c>
      <x:c r="F48" s="39" t="str">
        <x:v>H003</x:v>
      </x:c>
      <x:c r="G48" s="39" t="n">
        <x:v>1</x:v>
      </x:c>
      <x:c r="H48" s="37" t="str"/>
    </x:row>
    <x:row r="49" ht="22" customHeight="1">
      <x:c r="A49" s="30" t="str">
        <x:v>置物櫃2</x:v>
      </x:c>
      <x:c r="B49" s="32" t="str">
        <x:v>檯面</x:v>
      </x:c>
      <x:c r="C49" s="39" t="n">
        <x:v>540</x:v>
      </x:c>
      <x:c r="D49" s="39" t="n">
        <x:v>2348</x:v>
      </x:c>
      <x:c r="E49" s="39" t="n">
        <x:v>25</x:v>
      </x:c>
      <x:c r="F49" s="39" t="str">
        <x:v>H003</x:v>
      </x:c>
      <x:c r="G49" s="39" t="n">
        <x:v>1</x:v>
      </x:c>
      <x:c r="H49" s="37" t="str">
        <x:v>1L2SA</x:v>
      </x:c>
    </x:row>
    <x:row r="50" ht="22" customHeight="1">
      <x:c r="A50" s="30" t="str">
        <x:v>置物櫃2</x:v>
      </x:c>
      <x:c r="B50" s="32" t="str">
        <x:v>檯面</x:v>
      </x:c>
      <x:c r="C50" s="39" t="n">
        <x:v>390</x:v>
      </x:c>
      <x:c r="D50" s="39" t="n">
        <x:v>2348</x:v>
      </x:c>
      <x:c r="E50" s="39" t="n">
        <x:v>25</x:v>
      </x:c>
      <x:c r="F50" s="39" t="str">
        <x:v>H003</x:v>
      </x:c>
      <x:c r="G50" s="39" t="n">
        <x:v>1</x:v>
      </x:c>
      <x:c r="H50" s="37" t="str">
        <x:v>1L2SA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2" hidden="0" customWidth="1"/>
    <x:col min="4" max="4" width="10" hidden="0" customWidth="1"/>
    <x:col min="5" max="5" width="10" hidden="0" customWidth="1"/>
    <x:col min="6" max="6" width="34" hidden="0" customWidth="1"/>
  </x:cols>
  <x:sheetData>
    <x:row r="1" ht="34" customHeight="1">
      <x:c r="A1" s="5" t="str">
        <x:v>佛斯特｜修正版五金料單</x:v>
      </x:c>
      <x:c r="B1" s="5" t="str">
        <x:v>佛斯特｜修正版五金料單</x:v>
      </x:c>
      <x:c r="C1" s="5" t="str">
        <x:v>佛斯特｜修正版五金料單</x:v>
      </x:c>
      <x:c r="D1" s="5" t="str">
        <x:v>佛斯特｜修正版五金料單</x:v>
      </x:c>
      <x:c r="E1" s="5" t="str">
        <x:v>佛斯特｜修正版五金料單</x:v>
      </x:c>
      <x:c r="F1" s="5" t="str">
        <x:v>佛斯特｜修正版五金料單</x:v>
      </x:c>
    </x:row>
    <x:row r="2" ht="30" customHeight="1">
      <x:c r="A2" s="7" t="str">
        <x:v>依櫃體分列；數量已同步中立板、門板、抽屜與活動格配置，45滑軌以「組」計。 </x:v>
      </x:c>
      <x:c r="B2" s="7" t="str">
        <x:v>依櫃體分列；數量已同步中立板、門板、抽屜與活動格配置，45滑軌以「組」計。 </x:v>
      </x:c>
      <x:c r="C2" s="7" t="str">
        <x:v>依櫃體分列；數量已同步中立板、門板、抽屜與活動格配置，45滑軌以「組」計。 </x:v>
      </x:c>
      <x:c r="D2" s="7" t="str">
        <x:v>依櫃體分列；數量已同步中立板、門板、抽屜與活動格配置，45滑軌以「組」計。 </x:v>
      </x:c>
      <x:c r="E2" s="7" t="str">
        <x:v>依櫃體分列；數量已同步中立板、門板、抽屜與活動格配置，45滑軌以「組」計。 </x:v>
      </x:c>
      <x:c r="F2" s="7" t="str">
        <x:v>依櫃體分列；數量已同步中立板、門板、抽屜與活動格配置，45滑軌以「組」計。 </x:v>
      </x:c>
    </x:row>
    <x:row r="3">
      <x:c r="A3" s="2"/>
      <x:c r="B3" s="2"/>
      <x:c r="C3" s="2"/>
      <x:c r="D3" s="2"/>
      <x:c r="E3" s="2"/>
      <x:c r="F3" s="2"/>
    </x:row>
    <x:row r="4">
      <x:c r="A4" s="19" t="str">
        <x:v>置物櫃1 品項數</x:v>
      </x:c>
      <x:c r="B4" s="19" t="n">
        <x:f>COUNTIF($A$7:$A$23,"置物櫃1")</x:f>
        <x:v>8</x:v>
      </x:c>
      <x:c r="C4" s="19" t="str">
        <x:v>置物櫃2 品項數</x:v>
      </x:c>
      <x:c r="D4" s="19" t="n">
        <x:f>COUNTIF($A$7:$A$23,"置物櫃2")</x:f>
        <x:v>9</x:v>
      </x:c>
      <x:c r="E4" s="19" t="str">
        <x:v>合計品項數</x:v>
      </x:c>
      <x:c r="F4" s="19" t="n">
        <x:f>COUNTA($B$7:$B$23)</x:f>
        <x:v>17</x:v>
      </x:c>
    </x:row>
    <x:row r="5">
      <x:c r="A5" s="2"/>
      <x:c r="B5" s="2"/>
      <x:c r="C5" s="2"/>
      <x:c r="D5" s="2"/>
      <x:c r="E5" s="2"/>
      <x:c r="F5" s="2"/>
    </x:row>
    <x:row r="6" ht="24" customHeight="1">
      <x:c r="A6" s="24" t="str">
        <x:v>櫃體</x:v>
      </x:c>
      <x:c r="B6" s="24" t="str">
        <x:v>品項</x:v>
      </x:c>
      <x:c r="C6" s="24" t="str">
        <x:v>規格</x:v>
      </x:c>
      <x:c r="D6" s="24" t="str">
        <x:v>數量</x:v>
      </x:c>
      <x:c r="E6" s="24" t="str">
        <x:v>單位</x:v>
      </x:c>
      <x:c r="F6" s="24" t="str">
        <x:v>備註</x:v>
      </x:c>
    </x:row>
    <x:row r="7" ht="22" customHeight="1">
      <x:c r="A7" s="40" t="str">
        <x:v>置物櫃1</x:v>
      </x:c>
      <x:c r="B7" s="40" t="str">
        <x:v>A10</x:v>
      </x:c>
      <x:c r="C7" s="34" t="str">
        <x:v>—</x:v>
      </x:c>
      <x:c r="D7" s="38" t="n">
        <x:v>18</x:v>
      </x:c>
      <x:c r="E7" s="34" t="str">
        <x:v>個</x:v>
      </x:c>
      <x:c r="F7" s="36" t="str"/>
    </x:row>
    <x:row r="8" ht="22" customHeight="1">
      <x:c r="A8" s="40" t="str">
        <x:v>置物櫃1</x:v>
      </x:c>
      <x:c r="B8" s="40" t="str">
        <x:v>KD</x:v>
      </x:c>
      <x:c r="C8" s="34" t="str">
        <x:v>—</x:v>
      </x:c>
      <x:c r="D8" s="38" t="n">
        <x:v>32</x:v>
      </x:c>
      <x:c r="E8" s="34" t="str">
        <x:v>個</x:v>
      </x:c>
      <x:c r="F8" s="36" t="str"/>
    </x:row>
    <x:row r="9" ht="22" customHeight="1">
      <x:c r="A9" s="40" t="str">
        <x:v>置物櫃1</x:v>
      </x:c>
      <x:c r="B9" s="40" t="str">
        <x:v>抽木榫</x:v>
      </x:c>
      <x:c r="C9" s="34" t="str">
        <x:v>—</x:v>
      </x:c>
      <x:c r="D9" s="38" t="n">
        <x:v>32</x:v>
      </x:c>
      <x:c r="E9" s="34" t="str">
        <x:v>個</x:v>
      </x:c>
      <x:c r="F9" s="36" t="str"/>
    </x:row>
    <x:row r="10" ht="22" customHeight="1">
      <x:c r="A10" s="40" t="str">
        <x:v>置物櫃1</x:v>
      </x:c>
      <x:c r="B10" s="40" t="str">
        <x:v>白固格器</x:v>
      </x:c>
      <x:c r="C10" s="34" t="str">
        <x:v>—</x:v>
      </x:c>
      <x:c r="D10" s="38" t="n">
        <x:v>8</x:v>
      </x:c>
      <x:c r="E10" s="34" t="str">
        <x:v>個</x:v>
      </x:c>
      <x:c r="F10" s="36" t="str"/>
    </x:row>
    <x:row r="11" ht="22" customHeight="1">
      <x:c r="A11" s="40" t="str">
        <x:v>置物櫃1</x:v>
      </x:c>
      <x:c r="B11" s="40" t="str">
        <x:v>活格利</x:v>
      </x:c>
      <x:c r="C11" s="34" t="str">
        <x:v>—</x:v>
      </x:c>
      <x:c r="D11" s="38" t="n">
        <x:v>72</x:v>
      </x:c>
      <x:c r="E11" s="34" t="str">
        <x:v>個</x:v>
      </x:c>
      <x:c r="F11" s="36" t="str"/>
    </x:row>
    <x:row r="12" ht="22" customHeight="1">
      <x:c r="A12" s="40" t="str">
        <x:v>置物櫃1</x:v>
      </x:c>
      <x:c r="B12" s="40" t="str">
        <x:v>GS鉸鍊</x:v>
      </x:c>
      <x:c r="C12" s="34" t="str">
        <x:v>—</x:v>
      </x:c>
      <x:c r="D12" s="38" t="n">
        <x:v>6</x:v>
      </x:c>
      <x:c r="E12" s="34" t="str">
        <x:v>個</x:v>
      </x:c>
      <x:c r="F12" s="36" t="str"/>
    </x:row>
    <x:row r="13" ht="22" customHeight="1">
      <x:c r="A13" s="40" t="str">
        <x:v>置物櫃1</x:v>
      </x:c>
      <x:c r="B13" s="40" t="str">
        <x:v>油壓器</x:v>
      </x:c>
      <x:c r="C13" s="34" t="str">
        <x:v>—</x:v>
      </x:c>
      <x:c r="D13" s="38" t="n">
        <x:v>2</x:v>
      </x:c>
      <x:c r="E13" s="34" t="str">
        <x:v>個</x:v>
      </x:c>
      <x:c r="F13" s="36" t="str"/>
    </x:row>
    <x:row r="14" ht="22" customHeight="1">
      <x:c r="A14" s="40" t="str">
        <x:v>置物櫃1</x:v>
      </x:c>
      <x:c r="B14" s="40" t="str">
        <x:v>斜手把</x:v>
      </x:c>
      <x:c r="C14" s="34" t="str">
        <x:v>—</x:v>
      </x:c>
      <x:c r="D14" s="38" t="n">
        <x:v>2</x:v>
      </x:c>
      <x:c r="E14" s="34" t="str">
        <x:v>個</x:v>
      </x:c>
      <x:c r="F14" s="36" t="str"/>
    </x:row>
    <x:row r="15" ht="22" customHeight="1">
      <x:c r="A15" s="41" t="str">
        <x:v>置物櫃2</x:v>
      </x:c>
      <x:c r="B15" s="41" t="str">
        <x:v>A10</x:v>
      </x:c>
      <x:c r="C15" s="35" t="str">
        <x:v>—</x:v>
      </x:c>
      <x:c r="D15" s="39" t="n">
        <x:v>12</x:v>
      </x:c>
      <x:c r="E15" s="35" t="str">
        <x:v>個</x:v>
      </x:c>
      <x:c r="F15" s="37" t="str"/>
    </x:row>
    <x:row r="16" ht="22" customHeight="1">
      <x:c r="A16" s="41" t="str">
        <x:v>置物櫃2</x:v>
      </x:c>
      <x:c r="B16" s="41" t="str">
        <x:v>KD</x:v>
      </x:c>
      <x:c r="C16" s="35" t="str">
        <x:v>—</x:v>
      </x:c>
      <x:c r="D16" s="39" t="n">
        <x:v>52</x:v>
      </x:c>
      <x:c r="E16" s="35" t="str">
        <x:v>個</x:v>
      </x:c>
      <x:c r="F16" s="37" t="str"/>
    </x:row>
    <x:row r="17" ht="22" customHeight="1">
      <x:c r="A17" s="41" t="str">
        <x:v>置物櫃2</x:v>
      </x:c>
      <x:c r="B17" s="41" t="str">
        <x:v>抽木榫</x:v>
      </x:c>
      <x:c r="C17" s="35" t="str">
        <x:v>—</x:v>
      </x:c>
      <x:c r="D17" s="39" t="n">
        <x:v>72</x:v>
      </x:c>
      <x:c r="E17" s="35" t="str">
        <x:v>個</x:v>
      </x:c>
      <x:c r="F17" s="37" t="str">
        <x:v>不再拆成櫃體40＋抽屜60</x:v>
      </x:c>
    </x:row>
    <x:row r="18" ht="22" customHeight="1">
      <x:c r="A18" s="41" t="str">
        <x:v>置物櫃2</x:v>
      </x:c>
      <x:c r="B18" s="41" t="str">
        <x:v>白固格器</x:v>
      </x:c>
      <x:c r="C18" s="35" t="str">
        <x:v>—</x:v>
      </x:c>
      <x:c r="D18" s="39" t="n">
        <x:v>16</x:v>
      </x:c>
      <x:c r="E18" s="35" t="str">
        <x:v>個</x:v>
      </x:c>
      <x:c r="F18" s="37" t="str"/>
    </x:row>
    <x:row r="19" ht="22" customHeight="1">
      <x:c r="A19" s="41" t="str">
        <x:v>置物櫃2</x:v>
      </x:c>
      <x:c r="B19" s="41" t="str">
        <x:v>活格利</x:v>
      </x:c>
      <x:c r="C19" s="35" t="str">
        <x:v>—</x:v>
      </x:c>
      <x:c r="D19" s="39" t="n">
        <x:v>20</x:v>
      </x:c>
      <x:c r="E19" s="35" t="str">
        <x:v>個</x:v>
      </x:c>
      <x:c r="F19" s="37" t="str"/>
    </x:row>
    <x:row r="20" ht="22" customHeight="1">
      <x:c r="A20" s="41" t="str">
        <x:v>置物櫃2</x:v>
      </x:c>
      <x:c r="B20" s="41" t="str">
        <x:v>GS鉸鍊</x:v>
      </x:c>
      <x:c r="C20" s="35" t="str">
        <x:v>—</x:v>
      </x:c>
      <x:c r="D20" s="39" t="n">
        <x:v>14</x:v>
      </x:c>
      <x:c r="E20" s="35" t="str">
        <x:v>個</x:v>
      </x:c>
      <x:c r="F20" s="37" t="str"/>
    </x:row>
    <x:row r="21" ht="22" customHeight="1">
      <x:c r="A21" s="41" t="str">
        <x:v>置物櫃2</x:v>
      </x:c>
      <x:c r="B21" s="41" t="str">
        <x:v>油壓器</x:v>
      </x:c>
      <x:c r="C21" s="35" t="str">
        <x:v>—</x:v>
      </x:c>
      <x:c r="D21" s="39" t="n">
        <x:v>7</x:v>
      </x:c>
      <x:c r="E21" s="35" t="str">
        <x:v>個</x:v>
      </x:c>
      <x:c r="F21" s="37" t="str"/>
    </x:row>
    <x:row r="22" ht="22" customHeight="1">
      <x:c r="A22" s="41" t="str">
        <x:v>置物櫃2</x:v>
      </x:c>
      <x:c r="B22" s="41" t="str">
        <x:v>45滑軌</x:v>
      </x:c>
      <x:c r="C22" s="35" t="str">
        <x:v>45cm</x:v>
      </x:c>
      <x:c r="D22" s="39" t="n">
        <x:v>5</x:v>
      </x:c>
      <x:c r="E22" s="35" t="str">
        <x:v>組</x:v>
      </x:c>
      <x:c r="F22" s="37" t="str"/>
    </x:row>
    <x:row r="23" ht="22" customHeight="1">
      <x:c r="A23" s="41" t="str">
        <x:v>置物櫃2</x:v>
      </x:c>
      <x:c r="B23" s="41" t="str">
        <x:v>斜手把</x:v>
      </x:c>
      <x:c r="C23" s="35" t="str">
        <x:v>—</x:v>
      </x:c>
      <x:c r="D23" s="39" t="n">
        <x:v>12</x:v>
      </x:c>
      <x:c r="E23" s="35" t="str">
        <x:v>個</x:v>
      </x:c>
      <x:c r="F23" s="3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36" hidden="0" customWidth="1"/>
    <x:col min="4" max="4" width="36" hidden="0" customWidth="1"/>
    <x:col min="5" max="5" width="24" hidden="0" customWidth="1"/>
    <x:col min="6" max="6" width="11" hidden="0" customWidth="1"/>
  </x:cols>
  <x:sheetData>
    <x:row r="1" ht="34" customHeight="1">
      <x:c r="A1" s="5" t="str">
        <x:v>佛斯特｜拆料修正紀錄</x:v>
      </x:c>
      <x:c r="B1" s="5" t="str">
        <x:v>佛斯特｜拆料修正紀錄</x:v>
      </x:c>
      <x:c r="C1" s="5" t="str">
        <x:v>佛斯特｜拆料修正紀錄</x:v>
      </x:c>
      <x:c r="D1" s="5" t="str">
        <x:v>佛斯特｜拆料修正紀錄</x:v>
      </x:c>
      <x:c r="E1" s="5" t="str">
        <x:v>佛斯特｜拆料修正紀錄</x:v>
      </x:c>
      <x:c r="F1" s="5" t="str">
        <x:v>佛斯特｜拆料修正紀錄</x:v>
      </x:c>
    </x:row>
    <x:row r="2" ht="30" customHeight="1">
      <x:c r="A2" s="7" t="str">
        <x:v>主要問題不是單一抄寫錯誤，而是前置結構未先定版：中立板與 D−40 規則一旦判錯，活格、門板、五金會連鎖偏差。以下已全部修正。 </x:v>
      </x:c>
      <x:c r="B2" s="7" t="str">
        <x:v>主要問題不是單一抄寫錯誤，而是前置結構未先定版：中立板與 D−40 規則一旦判錯，活格、門板、五金會連鎖偏差。以下已全部修正。 </x:v>
      </x:c>
      <x:c r="C2" s="7" t="str">
        <x:v>主要問題不是單一抄寫錯誤，而是前置結構未先定版：中立板與 D−40 規則一旦判錯，活格、門板、五金會連鎖偏差。以下已全部修正。 </x:v>
      </x:c>
      <x:c r="D2" s="7" t="str">
        <x:v>主要問題不是單一抄寫錯誤，而是前置結構未先定版：中立板與 D−40 規則一旦判錯，活格、門板、五金會連鎖偏差。以下已全部修正。 </x:v>
      </x:c>
      <x:c r="E2" s="7" t="str">
        <x:v>主要問題不是單一抄寫錯誤，而是前置結構未先定版：中立板與 D−40 規則一旦判錯，活格、門板、五金會連鎖偏差。以下已全部修正。 </x:v>
      </x:c>
      <x:c r="F2" s="7" t="str">
        <x:v>主要問題不是單一抄寫錯誤，而是前置結構未先定版：中立板與 D−40 規則一旦判錯，活格、門板、五金會連鎖偏差。以下已全部修正。 </x:v>
      </x:c>
    </x:row>
    <x:row r="3" ht="28" customHeight="1">
      <x:c r="A3" s="13" t="str">
        <x:v>本版原則：先確認櫃體分割（中立板／固格），再展開板件，最後依門片與活動格反算五金。</x:v>
      </x:c>
      <x:c r="B3" s="14" t="str">
        <x:v>本版原則：先確認櫃體分割（中立板／固格），再展開板件，最後依門片與活動格反算五金。</x:v>
      </x:c>
      <x:c r="C3" s="14" t="str">
        <x:v>本版原則：先確認櫃體分割（中立板／固格），再展開板件，最後依門片與活動格反算五金。</x:v>
      </x:c>
      <x:c r="D3" s="14" t="str">
        <x:v>本版原則：先確認櫃體分割（中立板／固格），再展開板件，最後依門片與活動格反算五金。</x:v>
      </x:c>
      <x:c r="E3" s="14" t="str">
        <x:v>本版原則：先確認櫃體分割（中立板／固格），再展開板件，最後依門片與活動格反算五金。</x:v>
      </x:c>
      <x:c r="F3" s="15" t="str">
        <x:v>本版原則：先確認櫃體分割（中立板／固格），再展開板件，最後依門片與活動格反算五金。</x:v>
      </x:c>
    </x:row>
    <x:row r="4">
      <x:c r="A4" s="19" t="str">
        <x:v>修正項目總數</x:v>
      </x:c>
      <x:c r="B4" s="19" t="n">
        <x:f>COUNTA($B$7:$B$26)</x:f>
        <x:v>20</x:v>
      </x:c>
      <x:c r="C4" s="19" t="str">
        <x:v>完成數</x:v>
      </x:c>
      <x:c r="D4" s="19" t="n">
        <x:f>COUNTIF($F$7:$F$26,"已修正")</x:f>
        <x:v>20</x:v>
      </x:c>
      <x:c r="E4" s="19" t="str">
        <x:v>未完成數</x:v>
      </x:c>
      <x:c r="F4" s="19" t="n">
        <x:f>COUNTIF($F$7:$F$26,"&lt;&gt;已修正")</x:f>
        <x:v>0</x:v>
      </x:c>
    </x:row>
    <x:row r="5">
      <x:c r="A5" s="2"/>
      <x:c r="B5" s="2"/>
      <x:c r="C5" s="2"/>
      <x:c r="D5" s="2"/>
      <x:c r="E5" s="2"/>
      <x:c r="F5" s="2"/>
    </x:row>
    <x:row r="6" ht="24" customHeight="1">
      <x:c r="A6" s="24" t="str">
        <x:v>櫃體</x:v>
      </x:c>
      <x:c r="B6" s="24" t="str">
        <x:v>核對項目</x:v>
      </x:c>
      <x:c r="C6" s="24" t="str">
        <x:v>原錯誤／風險</x:v>
      </x:c>
      <x:c r="D6" s="24" t="str">
        <x:v>修正後</x:v>
      </x:c>
      <x:c r="E6" s="24" t="str">
        <x:v>修正依據</x:v>
      </x:c>
      <x:c r="F6" s="24" t="str">
        <x:v>狀態</x:v>
      </x:c>
    </x:row>
    <x:row r="7" ht="34" customHeight="1">
      <x:c r="A7" s="40" t="str">
        <x:v>置物櫃1</x:v>
      </x:c>
      <x:c r="B7" s="40" t="str">
        <x:v>結構前置確認</x:v>
      </x:c>
      <x:c r="C7" s="42" t="str">
        <x:v>未先鎖定兩個1000桶皆有中立板，後續尺寸連鎖偏差</x:v>
      </x:c>
      <x:c r="D7" s="43" t="str">
        <x:v>兩個1000桶均按有中立板拆料</x:v>
      </x:c>
      <x:c r="E7" s="44" t="str">
        <x:v>圖面結構與原料單中立板互證</x:v>
      </x:c>
      <x:c r="F7" s="47" t="str">
        <x:v>已修正</x:v>
      </x:c>
    </x:row>
    <x:row r="8" ht="34" customHeight="1">
      <x:c r="A8" s="40" t="str">
        <x:v>置物櫃1</x:v>
      </x:c>
      <x:c r="B8" s="40" t="str">
        <x:v>中立板</x:v>
      </x:c>
      <x:c r="C8" s="42" t="str">
        <x:v>漏列</x:v>
      </x:c>
      <x:c r="D8" s="43" t="str">
        <x:v>321×1436×18，2片；上18、下18</x:v>
      </x:c>
      <x:c r="E8" s="44" t="str">
        <x:v>1150811佛斯特.xls 料單</x:v>
      </x:c>
      <x:c r="F8" s="47" t="str">
        <x:v>已修正</x:v>
      </x:c>
    </x:row>
    <x:row r="9" ht="34" customHeight="1">
      <x:c r="A9" s="40" t="str">
        <x:v>置物櫃1</x:v>
      </x:c>
      <x:c r="B9" s="40" t="str">
        <x:v>活格板深度</x:v>
      </x:c>
      <x:c r="C9" s="42" t="str">
        <x:v>誤用306</x:v>
      </x:c>
      <x:c r="D9" s="43" t="str">
        <x:v>改為310（D−40）</x:v>
      </x:c>
      <x:c r="E9" s="44" t="str">
        <x:v>櫃深350−40</x:v>
      </x:c>
      <x:c r="F9" s="47" t="str">
        <x:v>已修正</x:v>
      </x:c>
    </x:row>
    <x:row r="10" ht="34" customHeight="1">
      <x:c r="A10" s="40" t="str">
        <x:v>置物櫃1</x:v>
      </x:c>
      <x:c r="B10" s="40" t="str">
        <x:v>1000桶活格分割</x:v>
      </x:c>
      <x:c r="C10" s="42" t="str">
        <x:v>誤列306×963，6片</x:v>
      </x:c>
      <x:c r="D10" s="43" t="str">
        <x:v>310×472，12片</x:v>
      </x:c>
      <x:c r="E10" s="44" t="str">
        <x:v>有中立板後左右分格</x:v>
      </x:c>
      <x:c r="F10" s="47" t="str">
        <x:v>已修正</x:v>
      </x:c>
    </x:row>
    <x:row r="11" ht="34" customHeight="1">
      <x:c r="A11" s="40" t="str">
        <x:v>置物櫃1</x:v>
      </x:c>
      <x:c r="B11" s="40" t="str">
        <x:v>填縫板</x:v>
      </x:c>
      <x:c r="C11" s="42" t="str">
        <x:v>誤列88×2860上填縫</x:v>
      </x:c>
      <x:c r="D11" s="43" t="str">
        <x:v>100×1472×18，1片；刪除錯誤上填縫</x:v>
      </x:c>
      <x:c r="E11" s="44" t="str">
        <x:v>原料單</x:v>
      </x:c>
      <x:c r="F11" s="47" t="str">
        <x:v>已修正</x:v>
      </x:c>
    </x:row>
    <x:row r="12" ht="34" customHeight="1">
      <x:c r="A12" s="40" t="str">
        <x:v>置物櫃1</x:v>
      </x:c>
      <x:c r="B12" s="40" t="str">
        <x:v>門板</x:v>
      </x:c>
      <x:c r="C12" s="42" t="str">
        <x:v>誤列497或色號509</x:v>
      </x:c>
      <x:c r="D12" s="43" t="str">
        <x:v>507×1468×18，H003，2片，長斜把</x:v>
      </x:c>
      <x:c r="E12" s="44" t="str">
        <x:v>原料單</x:v>
      </x:c>
      <x:c r="F12" s="47" t="str">
        <x:v>已修正</x:v>
      </x:c>
    </x:row>
    <x:row r="13" ht="34" customHeight="1">
      <x:c r="A13" s="40" t="str">
        <x:v>置物櫃1</x:v>
      </x:c>
      <x:c r="B13" s="40" t="str">
        <x:v>踢腳板</x:v>
      </x:c>
      <x:c r="C13" s="42" t="str">
        <x:v>尺寸／數量未依料單</x:v>
      </x:c>
      <x:c r="D13" s="43" t="str">
        <x:v>120×2800×2＋120×800×1</x:v>
      </x:c>
      <x:c r="E13" s="44" t="str">
        <x:v>原料單</x:v>
      </x:c>
      <x:c r="F13" s="47" t="str">
        <x:v>已修正</x:v>
      </x:c>
    </x:row>
    <x:row r="14" ht="34" customHeight="1">
      <x:c r="A14" s="40" t="str">
        <x:v>置物櫃1</x:v>
      </x:c>
      <x:c r="B14" s="40" t="str">
        <x:v>A10</x:v>
      </x:c>
      <x:c r="C14" s="42" t="str">
        <x:v>誤列16</x:v>
      </x:c>
      <x:c r="D14" s="43" t="str">
        <x:v>18個</x:v>
      </x:c>
      <x:c r="E14" s="44" t="str">
        <x:v>原料單</x:v>
      </x:c>
      <x:c r="F14" s="47" t="str">
        <x:v>已修正</x:v>
      </x:c>
    </x:row>
    <x:row r="15" ht="34" customHeight="1">
      <x:c r="A15" s="40" t="str">
        <x:v>置物櫃1</x:v>
      </x:c>
      <x:c r="B15" s="40" t="str">
        <x:v>小五金</x:v>
      </x:c>
      <x:c r="C15" s="42" t="str">
        <x:v>固格器、活格利、手把數量不完整</x:v>
      </x:c>
      <x:c r="D15" s="43" t="str">
        <x:v>白固格器8、活格利72、斜手把2</x:v>
      </x:c>
      <x:c r="E15" s="44" t="str">
        <x:v>原料單</x:v>
      </x:c>
      <x:c r="F15" s="47" t="str">
        <x:v>已修正</x:v>
      </x:c>
    </x:row>
    <x:row r="16" ht="34" customHeight="1">
      <x:c r="A16" s="40" t="str">
        <x:v>置物櫃2</x:v>
      </x:c>
      <x:c r="B16" s="40" t="str">
        <x:v>活格板深度</x:v>
      </x:c>
      <x:c r="C16" s="42" t="str">
        <x:v>誤用456／306</x:v>
      </x:c>
      <x:c r="D16" s="43" t="str">
        <x:v>改為460／310（D−40）</x:v>
      </x:c>
      <x:c r="E16" s="44" t="str">
        <x:v>櫃深500／350各減40</x:v>
      </x:c>
      <x:c r="F16" s="47" t="str">
        <x:v>已修正</x:v>
      </x:c>
    </x:row>
    <x:row r="17" ht="34" customHeight="1">
      <x:c r="A17" s="40" t="str">
        <x:v>置物櫃2</x:v>
      </x:c>
      <x:c r="B17" s="40" t="str">
        <x:v>固格板</x:v>
      </x:c>
      <x:c r="C17" s="42" t="str">
        <x:v>多列452×424</x:v>
      </x:c>
      <x:c r="D17" s="43" t="str">
        <x:v>僅保留452×884×18，2片</x:v>
      </x:c>
      <x:c r="E17" s="44" t="str">
        <x:v>原料單</x:v>
      </x:c>
      <x:c r="F17" s="47" t="str">
        <x:v>已修正</x:v>
      </x:c>
    </x:row>
    <x:row r="18" ht="34" customHeight="1">
      <x:c r="A18" s="40" t="str">
        <x:v>置物櫃2</x:v>
      </x:c>
      <x:c r="B18" s="40" t="str">
        <x:v>擋板</x:v>
      </x:c>
      <x:c r="C18" s="42" t="str">
        <x:v>誤拆成60×433等尺寸</x:v>
      </x:c>
      <x:c r="D18" s="43" t="str">
        <x:v>60×884×2＋60×424×1</x:v>
      </x:c>
      <x:c r="E18" s="44" t="str">
        <x:v>原料單</x:v>
      </x:c>
      <x:c r="F18" s="47" t="str">
        <x:v>已修正</x:v>
      </x:c>
    </x:row>
    <x:row r="19" ht="34" customHeight="1">
      <x:c r="A19" s="40" t="str">
        <x:v>置物櫃2</x:v>
      </x:c>
      <x:c r="B19" s="40" t="str">
        <x:v>上門板</x:v>
      </x:c>
      <x:c r="C19" s="42" t="str">
        <x:v>誤列457×636</x:v>
      </x:c>
      <x:c r="D19" s="43" t="str">
        <x:v>457×634×18，2片</x:v>
      </x:c>
      <x:c r="E19" s="44" t="str">
        <x:v>原料單</x:v>
      </x:c>
      <x:c r="F19" s="47" t="str">
        <x:v>已修正</x:v>
      </x:c>
    </x:row>
    <x:row r="20" ht="34" customHeight="1">
      <x:c r="A20" s="40" t="str">
        <x:v>置物櫃2</x:v>
      </x:c>
      <x:c r="B20" s="40" t="str">
        <x:v>假門板</x:v>
      </x:c>
      <x:c r="C20" s="42" t="str">
        <x:v>漏列</x:v>
      </x:c>
      <x:c r="D20" s="43" t="str">
        <x:v>120×636×18，2片</x:v>
      </x:c>
      <x:c r="E20" s="44" t="str">
        <x:v>原料單</x:v>
      </x:c>
      <x:c r="F20" s="47" t="str">
        <x:v>已修正</x:v>
      </x:c>
    </x:row>
    <x:row r="21" ht="34" customHeight="1">
      <x:c r="A21" s="40" t="str">
        <x:v>置物櫃2</x:v>
      </x:c>
      <x:c r="B21" s="40" t="str">
        <x:v>填縫板</x:v>
      </x:c>
      <x:c r="C21" s="42" t="str">
        <x:v>誤列22／28填縫板</x:v>
      </x:c>
      <x:c r="D21" s="43" t="str">
        <x:v>刪除，料單無此項</x:v>
      </x:c>
      <x:c r="E21" s="44" t="str">
        <x:v>原料單</x:v>
      </x:c>
      <x:c r="F21" s="47" t="str">
        <x:v>已修正</x:v>
      </x:c>
    </x:row>
    <x:row r="22" ht="34" customHeight="1">
      <x:c r="A22" s="40" t="str">
        <x:v>置物櫃2</x:v>
      </x:c>
      <x:c r="B22" s="40" t="str">
        <x:v>背條</x:v>
      </x:c>
      <x:c r="C22" s="42" t="str">
        <x:v>誤增列背條</x:v>
      </x:c>
      <x:c r="D22" s="43" t="str">
        <x:v>刪除，料單無背條</x:v>
      </x:c>
      <x:c r="E22" s="44" t="str">
        <x:v>原料單</x:v>
      </x:c>
      <x:c r="F22" s="47" t="str">
        <x:v>已修正</x:v>
      </x:c>
    </x:row>
    <x:row r="23" ht="34" customHeight="1">
      <x:c r="A23" s="40" t="str">
        <x:v>置物櫃2</x:v>
      </x:c>
      <x:c r="B23" s="40" t="str">
        <x:v>KD</x:v>
      </x:c>
      <x:c r="C23" s="42" t="str">
        <x:v>誤列40</x:v>
      </x:c>
      <x:c r="D23" s="43" t="str">
        <x:v>52個</x:v>
      </x:c>
      <x:c r="E23" s="44" t="str">
        <x:v>原料單</x:v>
      </x:c>
      <x:c r="F23" s="47" t="str">
        <x:v>已修正</x:v>
      </x:c>
    </x:row>
    <x:row r="24" ht="34" customHeight="1">
      <x:c r="A24" s="40" t="str">
        <x:v>置物櫃2</x:v>
      </x:c>
      <x:c r="B24" s="40" t="str">
        <x:v>抽木榫</x:v>
      </x:c>
      <x:c r="C24" s="42" t="str">
        <x:v>誤拆櫃體40＋抽屜60</x:v>
      </x:c>
      <x:c r="D24" s="43" t="str">
        <x:v>合計72個</x:v>
      </x:c>
      <x:c r="E24" s="44" t="str">
        <x:v>原料單</x:v>
      </x:c>
      <x:c r="F24" s="47" t="str">
        <x:v>已修正</x:v>
      </x:c>
    </x:row>
    <x:row r="25" ht="34" customHeight="1">
      <x:c r="A25" s="40" t="str">
        <x:v>置物櫃2</x:v>
      </x:c>
      <x:c r="B25" s="40" t="str">
        <x:v>白固格器</x:v>
      </x:c>
      <x:c r="C25" s="42" t="str">
        <x:v>誤列20</x:v>
      </x:c>
      <x:c r="D25" s="43" t="str">
        <x:v>16個</x:v>
      </x:c>
      <x:c r="E25" s="44" t="str">
        <x:v>原料單</x:v>
      </x:c>
      <x:c r="F25" s="47" t="str">
        <x:v>已修正</x:v>
      </x:c>
    </x:row>
    <x:row r="26" ht="34" customHeight="1">
      <x:c r="A26" s="40" t="str">
        <x:v>置物櫃2</x:v>
      </x:c>
      <x:c r="B26" s="40" t="str">
        <x:v>抽牆尺寸順序</x:v>
      </x:c>
      <x:c r="C26" s="42" t="str">
        <x:v>前／邊抽牆規格順序混淆</x:v>
      </x:c>
      <x:c r="D26" s="43" t="str">
        <x:v>前抽牆120×370、120×361；邊抽牆120×450</x:v>
      </x:c>
      <x:c r="E26" s="44" t="str">
        <x:v>原料單</x:v>
      </x:c>
      <x:c r="F26" s="47" t="str">
        <x:v>已修正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